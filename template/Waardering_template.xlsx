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drawings/drawing1.xml" ContentType="application/vnd.openxmlformats-officedocument.drawing+xml"/>
  <Override PartName="/xl/printerSettings/printerSettings12.bin" ContentType="application/vnd.openxmlformats-officedocument.spreadsheetml.printerSettings"/>
  <Override PartName="/xl/printerSettings/printerSettings14.bin" ContentType="application/vnd.openxmlformats-officedocument.spreadsheetml.printerSettings"/>
  <Override PartName="/xl/printerSettings/printerSettings15.bin" ContentType="application/vnd.openxmlformats-officedocument.spreadsheetml.printerSettings"/>
  <Override PartName="/xl/printerSettings/printerSettings16.bin" ContentType="application/vnd.openxmlformats-officedocument.spreadsheetml.printerSettings"/>
  <Override PartName="/xl/printerSettings/printerSettings17.bin" ContentType="application/vnd.openxmlformats-officedocument.spreadsheetml.printerSettings"/>
  <Override PartName="/xl/printerSettings/printerSettings18.bin" ContentType="application/vnd.openxmlformats-officedocument.spreadsheetml.printerSettings"/>
  <Override PartName="/xl/drawings/drawing2.xml" ContentType="application/vnd.openxmlformats-officedocument.drawing+xml"/>
  <Override PartName="/customXml/itemProps1.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xr:revisionPtr revIDLastSave="0" documentId="13_ncr:1_{82EA48EC-9DA0-443F-A3BE-83D489C94CC5}" xr6:coauthVersionLast="47" xr6:coauthVersionMax="47" xr10:uidLastSave="{00000000-0000-0000-0000-000000000000}"/>
  <bookViews>
    <workbookView xWindow="-28920" yWindow="-120" windowWidth="29040" windowHeight="15720" tabRatio="966" firstSheet="0" activeTab="0" xr2:uid="{00000000-000D-0000-FFFF-FFFF00000000}"/>
  </bookViews>
  <sheets>
    <sheet name="weerhouden waarde" sheetId="8" r:id="rId4"/>
    <sheet name="Swot" sheetId="62" state="hidden" r:id="rId5"/>
    <sheet name="substantiële waarde" sheetId="4" r:id="rId6"/>
    <sheet name="gecorrigeerd eigen vermogen" sheetId="1" r:id="rId11"/>
    <sheet name="MVA" sheetId="48" r:id="rId12"/>
    <sheet name="Goodwill" sheetId="12" r:id="rId14"/>
    <sheet name="Gecorrigeerde vrije cash flow" sheetId="2" r:id="rId22"/>
    <sheet name="OLO" sheetId="54" r:id="rId25"/>
    <sheet name="Rendementswaarde" sheetId="7" r:id="rId26"/>
    <sheet name="rendementswaarde 1" sheetId="5" r:id="rId27"/>
    <sheet name="rendementswaarde 2" sheetId="6" r:id="rId28"/>
    <sheet name="Marktwaarde " sheetId="38" r:id="rId30"/>
  </sheets>
  <definedNames>
    <definedName name="_xlnm.Print_Area" localSheetId="3">'gecorrigeerd eigen vermogen'!$A$1:$F$70</definedName>
    <definedName name="_xlnm.Print_Area" localSheetId="6">'Gecorrigeerde vrije cash flow'!$A$1:$U$168</definedName>
    <definedName name="_xlnm.Print_Area" localSheetId="5">Goodwill!$A$1:$F$120</definedName>
    <definedName name="_xlnm.Print_Area" localSheetId="11">'Marktwaarde '!$A$1:$E$47</definedName>
    <definedName name="_xlnm.Print_Area" localSheetId="4">MVA!$A$1:$N$115</definedName>
    <definedName name="_xlnm.Print_Area" localSheetId="8">Rendementswaarde!$A$1:$D$18</definedName>
    <definedName name="_xlnm.Print_Area" localSheetId="9">'rendementswaarde 1'!$A$1:$D$21</definedName>
    <definedName name="_xlnm.Print_Area" localSheetId="10">'rendementswaarde 2'!$A$1:$J$76</definedName>
    <definedName name="_xlnm.Print_Area" localSheetId="2">'substantiële waarde'!$A$1:$F$15</definedName>
    <definedName name="_xlnm.Print_Area" localSheetId="0">'weerhouden waarde'!$A$1:$D$103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<sst xmlns="http://schemas.openxmlformats.org/spreadsheetml/2006/main" uniqueCount="392">
  <si>
    <t>[NAAM VENNOOTSCHAP]</t>
  </si>
  <si>
    <t>[straat + nummer]</t>
  </si>
  <si>
    <t>[postcode + gemeente]</t>
  </si>
  <si>
    <t>ON. [ondernemingsnummer]</t>
  </si>
  <si>
    <t>Toestand op [afsluitdatum] (afsluitdatum)</t>
  </si>
  <si>
    <t>WEERHOUDEN WAARDE</t>
  </si>
  <si>
    <t>Rekening houdende met de aard en de activiteiten van de vennootschap, zijnde [omschrijving activiteit], worden ter bepaling van de waarde van de aandelen van de in rand vermelde vennootschap, navolgende methoden toegepast :</t>
  </si>
  <si>
    <t xml:space="preserve">  - Een substantiële waardebepaling</t>
  </si>
  <si>
    <t xml:space="preserve">  - Een rendementswaarde berekening</t>
  </si>
  <si>
    <t xml:space="preserve">  - Een berekening naar de waarde op basis van de EBITDA (marktwaarde)</t>
  </si>
  <si>
    <t xml:space="preserve">  - Een berekening naar de waarde op basis van de DCF-methode</t>
  </si>
  <si>
    <r>
      <t xml:space="preserve">De </t>
    </r>
    <r>
      <rPr>
        <b/>
        <u/>
        <sz val="10"/>
        <rFont val="Arial"/>
        <family val="2"/>
      </rPr>
      <t>substantiële waarde</t>
    </r>
    <r>
      <rPr>
        <b/>
        <sz val="10"/>
        <rFont val="Arial"/>
        <family val="2"/>
      </rPr>
      <t xml:space="preserve"> </t>
    </r>
    <r>
      <rPr>
        <sz val="10"/>
        <rFont val="Arial"/>
        <family val="2"/>
      </rPr>
      <t xml:space="preserve">wordt bekomen op basis van het eigen vermogen van de vennootschap. De eigen vermogenswaarde wordt gecorrigeerd met de latente min- en/of meerwaarden die op de activa en passiva aanwezig zijn. Hieraan wordt de waarde van de goodwill, berekend op basis van de verwachte recurrente inkomsten- en uitgavenstromen, toegevoegd. </t>
    </r>
  </si>
  <si>
    <t>Teneinde de latente min- en/of meerwaarden op de activa en passiva te bekomen, worden de activa en passiva gewaardeerd tegen gebruikswaarde (investeringen) en nominale waarde (o.a. vorderingen, liquide middelen en schulden).</t>
  </si>
  <si>
    <r>
      <t xml:space="preserve">De </t>
    </r>
    <r>
      <rPr>
        <b/>
        <u/>
        <sz val="10"/>
        <rFont val="Arial"/>
        <family val="2"/>
      </rPr>
      <t>rendementswaarde</t>
    </r>
    <r>
      <rPr>
        <sz val="10"/>
        <rFont val="Arial"/>
        <family val="2"/>
      </rPr>
      <t xml:space="preserve"> van de onderneming is gebaseerd op de berekende verwachte vrije recurrente kasstroom. In casu worden twee rendementswaarden, met name de rendementswaarde in perpetuum (standpunt van investeerder) en de rendementswaarde op korte termijn (standpunt van financiering), berekend.</t>
    </r>
  </si>
  <si>
    <t>Verder wordt in onze uitwerking ook rekening gehouden met de marktwaarde, dewelke wordt</t>
  </si>
  <si>
    <t>bekomen op basis van een multiple toegepast op de genormaliseerde EBITDA (gangbaar in de praktijk).</t>
  </si>
  <si>
    <t>Tenslotte passen we ook de DCF-methode toe, waarbij de verwachte vrije kasstroom wordt geactualiseerd</t>
  </si>
  <si>
    <t>op basis van de WACC.</t>
  </si>
  <si>
    <t>De rendementswaarde is meer toekomstgericht in vergelijking met de substantiële waarde die voornamelijk gebaseerd is op het in het verleden opgebouwd vermogen.</t>
  </si>
  <si>
    <t xml:space="preserve">In de berekening naar de recurrente kasstroom wordt uitgegaan van de historische resultaten van de boekjaren [jaren]. Bij de berekening van de recurrente kasstroom worden de historische resultaten genormaliseerd rekening houdende met een normale, marktconforme arbeidsvergoeding voor de actieve bestuurders en de geraamde recurrente vervangingsinvesteringen om te komen tot een normaal te verwachten vrije kasstroom voor de toekomst. </t>
  </si>
  <si>
    <t>De aldus berekende vrije kasstroom wordt vervolgens geactualiseerd rekening houdende met een jaarlijkse verdisconteringsvoet die rekening houdt met de risicograad, met andere woorden het risico dat de berekende kasstromen niet zullen behaald worden.</t>
  </si>
  <si>
    <t>De rendementswaarde in perpetuum is de benadering van een equity fonds die een bepaald minimaal rendement vereist op haar geïnvesteerd vermogen, rendement dat afhangt van de rentevoeten en tevens de risicograad van de onderneming. In deze methode wordt de geactualiseerde verwachte inkomens- en uitgavenstroom verhoogd respectievelijk verlaagd met de excess cash/net debt componenten.</t>
  </si>
  <si>
    <t xml:space="preserve">De rendementswaarde op korte termijn is de benadering van een financier die nagaat welk krediet kan terugbetaald worden vanuit de vrije kasstroom over een normale periode waarvan de termijn in functie staat tot de risicograad van de onderneming. De aldus bekomen terugverdiencapaciteit wordt verhoogd met de liquidatiewaarde van het vermogen.  </t>
  </si>
  <si>
    <r>
      <t xml:space="preserve">De </t>
    </r>
    <r>
      <rPr>
        <u/>
        <sz val="10"/>
        <rFont val="Arial"/>
        <family val="2"/>
      </rPr>
      <t xml:space="preserve">empirische waarde </t>
    </r>
    <r>
      <rPr>
        <sz val="10"/>
        <rFont val="Arial"/>
        <family val="2"/>
      </rPr>
      <t xml:space="preserve">of de </t>
    </r>
    <r>
      <rPr>
        <b/>
        <u/>
        <sz val="10"/>
        <rFont val="Arial"/>
        <family val="2"/>
      </rPr>
      <t>EBITDA multiple methode</t>
    </r>
    <r>
      <rPr>
        <sz val="10"/>
        <rFont val="Arial"/>
        <family val="2"/>
      </rPr>
      <t xml:space="preserve"> is gebaseerd op de in de markt gangbare multiples voor ondernemingen actief in de sector. De multiple leiden we af uit de M&amp;A studie van Vlerick Business School die de up to date multiples bevat per sector van diverse sectoren in België. </t>
    </r>
  </si>
  <si>
    <t>Aan de aldus bekomen ondernemingswaarde wordt dan vervolgens het excess vermogen toegevoegd of de net debt componenten afgetrokken.</t>
  </si>
  <si>
    <t>De rendements- en marktwaarde zijn de belangrijkste waarden omdat deze de waarde weergeven die kan verwacht</t>
  </si>
  <si>
    <t>worden uit het toekomstig te verwachten rendement.</t>
  </si>
  <si>
    <t xml:space="preserve">Op basis van voorbeschreven waarderingsmethoden, kan navolgende waarde voor de totaliteit van de aandelen </t>
  </si>
  <si>
    <t>van de in rand vermelde vennootschap weerhouden worden :</t>
  </si>
  <si>
    <t xml:space="preserve">  Substantiële waarde</t>
  </si>
  <si>
    <t xml:space="preserve"> x 1/3</t>
  </si>
  <si>
    <t xml:space="preserve">  Rendementswaarde</t>
  </si>
  <si>
    <t xml:space="preserve">  Marktwaarde (EBITDA)</t>
  </si>
  <si>
    <t xml:space="preserve">  DCF waarde</t>
  </si>
  <si>
    <t xml:space="preserve"> x 1/4</t>
  </si>
  <si>
    <t>afgerond =</t>
  </si>
  <si>
    <t xml:space="preserve">3. Een voorbehoud omtrent de bodemtoestand van het onroerend en de eventuele aanwezigheid van asbest, </t>
  </si>
  <si>
    <t xml:space="preserve">    aangezien ons hieromtrent geen verdere informatie beschikbaar is.</t>
  </si>
  <si>
    <t>PM</t>
  </si>
  <si>
    <t>1. Er worden verondersteld geen hangende geschillen (met overheidsdiensten, fiscus, derden,…) e.d. te zijn met een van materiële aarde zijnde negatieve impact voor de vennootschap.</t>
  </si>
  <si>
    <t>2. De gebruikte historische cijfers zijn geen geauditeerde cijfers.</t>
  </si>
  <si>
    <t xml:space="preserve">3. Er wordt geen rekening gehouden met de eigen vermogensevolutie na [afsluitdatum]. </t>
  </si>
  <si>
    <t>(6) en (7) financiële opbrengsten/kosten op overtollige activa/passiva worden hier geannuleerd, net als positieve/negatieve wisselkoersverschillen</t>
  </si>
  <si>
    <t>STERKTES</t>
  </si>
  <si>
    <t>ZWAKTES</t>
  </si>
  <si>
    <t>OPPORTUNITEITEN</t>
  </si>
  <si>
    <t>BEDREIGINGEN</t>
  </si>
  <si>
    <t>SUBSTANTIËLE WAARDE</t>
  </si>
  <si>
    <t>gecorrigeerd eigen vermogen</t>
  </si>
  <si>
    <t>goodwill</t>
  </si>
  <si>
    <t>Substantiële waarde</t>
  </si>
  <si>
    <t xml:space="preserve"> </t>
  </si>
  <si>
    <t>GECORRIGEERD EIGEN VERMOGEN</t>
  </si>
  <si>
    <t>eigen vermogen</t>
  </si>
  <si>
    <t xml:space="preserve">  Beschikbare inbreng buiten kapitaal</t>
  </si>
  <si>
    <t xml:space="preserve">  Beschikbare reserves - liquidatiereserves</t>
  </si>
  <si>
    <t xml:space="preserve">  Overgedragen winst</t>
  </si>
  <si>
    <t>correcties op eigen vermogen</t>
  </si>
  <si>
    <t xml:space="preserve">  latente meerwaarde onroerende goederen (zie detail meerw. MVA)</t>
  </si>
  <si>
    <t xml:space="preserve">  latente meerwaarde roerende goederen (zie detail meerw. MVA)</t>
  </si>
  <si>
    <t xml:space="preserve">  latente minderwaarde handelsvorderingen (3)</t>
  </si>
  <si>
    <t>latentie vennootschapsbelasting</t>
  </si>
  <si>
    <t>(1)</t>
  </si>
  <si>
    <t>Latentie liquidatiebelasting op gecorr EV - kapitaal</t>
  </si>
  <si>
    <t xml:space="preserve">  correcties op eigen vermogen </t>
  </si>
  <si>
    <t xml:space="preserve">  belastingslatentie op correcties eigen vermogen</t>
  </si>
  <si>
    <t>(2)</t>
  </si>
  <si>
    <t>Gecorrigeerd eigen vermogen</t>
  </si>
  <si>
    <t>(1) : Inbreng</t>
  </si>
  <si>
    <t>Inbreng [datum oprichting / omschrijving]</t>
  </si>
  <si>
    <t>(1) : latentie vennootschapsbelasting  :</t>
  </si>
  <si>
    <t>Het tarief van de latente vennootschapsbelasting wordt berekend uitgaande van het vigerend tarief in de vennootschapsbelasting (ad 25%) waarbij een actualisatie wordt doorgevoerd voor een periode van 10 jaar aan een jaarlijkse verdisconteringsfactor dewelke overeenstemt met de gemiddelde OLO van de laatste 20 jaar</t>
  </si>
  <si>
    <t>10 jaar</t>
  </si>
  <si>
    <t xml:space="preserve">  - toepasselijk tarief vennootschapsbelasting</t>
  </si>
  <si>
    <t xml:space="preserve">  - gemiddelde OLO rentevoet van laatste 20 jaar</t>
  </si>
  <si>
    <t xml:space="preserve">  - toepasselijke verdisconteringscoëfficiënt </t>
  </si>
  <si>
    <t xml:space="preserve">  - tarief latente vennootschapsbelasting</t>
  </si>
  <si>
    <t>(2) : latentie liquidatiebelastingen :</t>
  </si>
  <si>
    <t>We gaan in onderhavige waardering uit van het scenario dat de aandelen in de toekomst worden aangehouden door een holdingvennootschap. Aldus wordt geen latente liquidatiebelasting weerhouden.</t>
  </si>
  <si>
    <t>(3) : latentie minderwaarde handelsvorderingen :</t>
  </si>
  <si>
    <t>Op basis van het detail van de openstaande klanten d.d. [datum] [besluit over achterstallige saldi]. We weerhouden aldus [geen] latente minderwaarde op de openstaande handelsvorderingen per [afsluitdatum].</t>
  </si>
  <si>
    <t>(4): Nihil wegens vennootschapsaandeelhouders</t>
  </si>
  <si>
    <t>WAARDERING MATERIËLE VASTE ACTIVA</t>
  </si>
  <si>
    <t>datum</t>
  </si>
  <si>
    <t>jaar</t>
  </si>
  <si>
    <t>omschrijving</t>
  </si>
  <si>
    <t>AW</t>
  </si>
  <si>
    <t>restwaarde</t>
  </si>
  <si>
    <t>af te schrijven</t>
  </si>
  <si>
    <t># jaar</t>
  </si>
  <si>
    <t>afgeschr.</t>
  </si>
  <si>
    <t>afschrijvingen</t>
  </si>
  <si>
    <t>berekende BW</t>
  </si>
  <si>
    <t>weerhouden w.</t>
  </si>
  <si>
    <t>BW klant</t>
  </si>
  <si>
    <t>latente mw</t>
  </si>
  <si>
    <t>Vervangingsinvest.</t>
  </si>
  <si>
    <t>ONROERENDE GOEDEREN</t>
  </si>
  <si>
    <t>Terreinen en gebouwen</t>
  </si>
  <si>
    <t>Bedrijfspand - [adres]</t>
  </si>
  <si>
    <t>TOTAAL</t>
  </si>
  <si>
    <t>Afgerond</t>
  </si>
  <si>
    <t>Raming actuele venale waarde onroerend goed</t>
  </si>
  <si>
    <t>Marktwaarde cfr. schattingsverslag [schatter]</t>
  </si>
  <si>
    <t>(marktwaarde - vrij op naam)</t>
  </si>
  <si>
    <t>d.d. [datum schattingsverslag]</t>
  </si>
  <si>
    <t>Indexatie t.o.v. datum schattingsverslag (leeg = geen indexatie)</t>
  </si>
  <si>
    <t>Geindexeerde marktwaarde</t>
  </si>
  <si>
    <t>ROERENDE GOEDEREN</t>
  </si>
  <si>
    <t>Computers/hardware (#240100)</t>
  </si>
  <si>
    <t xml:space="preserve">5 jaar met restwaarde = 0% </t>
  </si>
  <si>
    <t>Installaties, machines en uitrusting (#230000)</t>
  </si>
  <si>
    <t>7 jaar met een restwaarde van 10% (voor investeringen na 2018)</t>
  </si>
  <si>
    <t>Meubilair (#240000)</t>
  </si>
  <si>
    <t>Rollend materieel (#241000)</t>
  </si>
  <si>
    <t>10 jaar en 10% restwaarde</t>
  </si>
  <si>
    <t>Inrichting / huur gebouwen (#232000 / #264000)</t>
  </si>
  <si>
    <t>15 jaar zonder restwaarde</t>
  </si>
  <si>
    <t>TOTAAL MVA</t>
  </si>
  <si>
    <t>Controle :</t>
  </si>
  <si>
    <t>Immateriële vaste activa (afschrijvingstabel)</t>
  </si>
  <si>
    <t>Totaal NBW</t>
  </si>
  <si>
    <t>Investeringen na afsluitdatum (afschrijvingstabel)</t>
  </si>
  <si>
    <t>MVA volgens balans afsluitdatum</t>
  </si>
  <si>
    <t>Totaal aanschafwaarde</t>
  </si>
  <si>
    <t>Totaal volgens afschrijvingstabel</t>
  </si>
  <si>
    <t>Verschil (moet 0 zijn)</t>
  </si>
  <si>
    <t>WAARDERING GOODWILL</t>
  </si>
  <si>
    <r>
      <t xml:space="preserve">Overtollige activa </t>
    </r>
    <r>
      <rPr>
        <vertAlign val="superscript"/>
        <sz val="10"/>
        <rFont val="Arial"/>
        <family val="2"/>
      </rPr>
      <t>(3)</t>
    </r>
  </si>
  <si>
    <t>Geïnvesteerd risicokapitaal</t>
  </si>
  <si>
    <t>Gecorrigeerde vrije cash flow</t>
  </si>
  <si>
    <r>
      <t>vereist rendement op EV</t>
    </r>
    <r>
      <rPr>
        <vertAlign val="superscript"/>
        <sz val="10"/>
        <rFont val="Arial"/>
        <family val="2"/>
      </rPr>
      <t xml:space="preserve"> (1)</t>
    </r>
  </si>
  <si>
    <r>
      <t xml:space="preserve">aantal jaar goodwill </t>
    </r>
    <r>
      <rPr>
        <vertAlign val="superscript"/>
        <sz val="10"/>
        <rFont val="Arial"/>
        <family val="2"/>
      </rPr>
      <t>(2)</t>
    </r>
  </si>
  <si>
    <t>vereist risicoloos rendement (gemiddelde OLO 20 jaar + 1,5%)</t>
  </si>
  <si>
    <t>afgerond</t>
  </si>
  <si>
    <t>Het rendement op EV wordt bepaald op basis van de samenstelling van het actief :</t>
  </si>
  <si>
    <t xml:space="preserve">- O&amp;O : </t>
  </si>
  <si>
    <t xml:space="preserve">- materiële vaste activa : </t>
  </si>
  <si>
    <t>- voorraad :</t>
  </si>
  <si>
    <t xml:space="preserve">- vorderingen : </t>
  </si>
  <si>
    <t xml:space="preserve">- liquide middelen : </t>
  </si>
  <si>
    <t>7 jaar wordt weerhouden omwille van :</t>
  </si>
  <si>
    <t>a) [motivering +] (+)</t>
  </si>
  <si>
    <t>b) [motivering +] (+)</t>
  </si>
  <si>
    <t>c) [motivering +] (+)</t>
  </si>
  <si>
    <t>d) [motivering +] (+)</t>
  </si>
  <si>
    <t>e) [motivering -] (-)</t>
  </si>
  <si>
    <t>f) [motivering -] (-)</t>
  </si>
  <si>
    <t>(3) Overtollige activa en passiva worden als volgt berekend (toestand per [afsluitdatum]):</t>
  </si>
  <si>
    <t>Roerend vermogen</t>
  </si>
  <si>
    <t>Liquide middelen</t>
  </si>
  <si>
    <t>Terug te vorderen belastingen</t>
  </si>
  <si>
    <t>Te betalen vennootschapsbelasting</t>
  </si>
  <si>
    <t>R/C bestuurder</t>
  </si>
  <si>
    <t>Correctie financiering werkkapitaal</t>
  </si>
  <si>
    <t>(*)</t>
  </si>
  <si>
    <t>BALANS</t>
  </si>
  <si>
    <t>CODE</t>
  </si>
  <si>
    <t>[afsluitdatum]</t>
  </si>
  <si>
    <t>1.</t>
  </si>
  <si>
    <t>OPRICHTINGSKOSTEN</t>
  </si>
  <si>
    <t>2.</t>
  </si>
  <si>
    <t>IMMATERIELE VASTE ACTIVA</t>
  </si>
  <si>
    <t>3.</t>
  </si>
  <si>
    <t>MATERIELE VASTE ACTIVA</t>
  </si>
  <si>
    <t>22/27</t>
  </si>
  <si>
    <t>4.</t>
  </si>
  <si>
    <t>FINANCIELE VASTE ACTIVA</t>
  </si>
  <si>
    <t>5.</t>
  </si>
  <si>
    <t>VORDERINGEN OP + 1 JAAR</t>
  </si>
  <si>
    <t>6.</t>
  </si>
  <si>
    <t>VOORRADEN EN BESTELLINGEN  IN UITVOERING</t>
  </si>
  <si>
    <t xml:space="preserve"> A. VOORRADEN</t>
  </si>
  <si>
    <t>30/36</t>
  </si>
  <si>
    <t xml:space="preserve">     Grond- en hulpstoffen</t>
  </si>
  <si>
    <t>30/31</t>
  </si>
  <si>
    <t xml:space="preserve">     Goederen in bewerking</t>
  </si>
  <si>
    <t xml:space="preserve">     Gereed produkt</t>
  </si>
  <si>
    <t xml:space="preserve">     Handelsgoederen</t>
  </si>
  <si>
    <t xml:space="preserve">     Onroerende goederen voor verkoop</t>
  </si>
  <si>
    <t xml:space="preserve">     Vooruitbetalingen</t>
  </si>
  <si>
    <t>B. BESTELLINGEN IN UITVOERING</t>
  </si>
  <si>
    <t>7.</t>
  </si>
  <si>
    <t>VORDERINGEN OP -1JAAR</t>
  </si>
  <si>
    <t>40/41</t>
  </si>
  <si>
    <t>A. HANDELSVORDERINGEN</t>
  </si>
  <si>
    <t>B. OVERIGE VORDERINGEN</t>
  </si>
  <si>
    <t>8.</t>
  </si>
  <si>
    <t>GELDBELEGGINGEN</t>
  </si>
  <si>
    <t>50/53</t>
  </si>
  <si>
    <t>9.</t>
  </si>
  <si>
    <t>LIQUIDE MIDDELEN</t>
  </si>
  <si>
    <t>54/58</t>
  </si>
  <si>
    <t>10.</t>
  </si>
  <si>
    <t>OVERLOPENDE REKENINGEN</t>
  </si>
  <si>
    <t>490/1</t>
  </si>
  <si>
    <t>A C T I V A</t>
  </si>
  <si>
    <t>20/58</t>
  </si>
  <si>
    <t>(3a)</t>
  </si>
  <si>
    <t>[rekening - omschrijving lening (LT/KT)]</t>
  </si>
  <si>
    <t>(3b)</t>
  </si>
  <si>
    <t>Normalisatie werkkapitaal</t>
  </si>
  <si>
    <t>Vlottende activa (exclusief overtollig)</t>
  </si>
  <si>
    <t>Vreemd vermogen korte termijn (exclusief overtollig)</t>
  </si>
  <si>
    <t>(*) Correctie financiering werkkapitaal</t>
  </si>
  <si>
    <t>Op basis van onderstaand overzicht bedraagt de solvabiliteit van de onderneming [x]%. [Motivering al dan niet weerhouden van een theoretische financiering van het werkkapitaal.]</t>
  </si>
  <si>
    <t>Voorraad</t>
  </si>
  <si>
    <t>Klantentegoed</t>
  </si>
  <si>
    <t>Overige vorderingen</t>
  </si>
  <si>
    <t>Overlopende rekeningen actief</t>
  </si>
  <si>
    <t>Straight loans</t>
  </si>
  <si>
    <t>Financiering vakantiegeld</t>
  </si>
  <si>
    <t>Handelsschulden</t>
  </si>
  <si>
    <t>Te betalen BTW</t>
  </si>
  <si>
    <t>Te betalen sociale schulden</t>
  </si>
  <si>
    <t>Overlopende rekeningen passief</t>
  </si>
  <si>
    <t>Werkkapitaal</t>
  </si>
  <si>
    <t>Omzet (12m)</t>
  </si>
  <si>
    <t>%</t>
  </si>
  <si>
    <t>Eigen vermogen (excl. HWMW)</t>
  </si>
  <si>
    <t>Totaal vermogen</t>
  </si>
  <si>
    <t>Solvabiliteit</t>
  </si>
  <si>
    <t>Solvabiliteit na correctie</t>
  </si>
  <si>
    <t>MVA</t>
  </si>
  <si>
    <t>Vorderingen</t>
  </si>
  <si>
    <t>Overlopend</t>
  </si>
  <si>
    <t>Cash</t>
  </si>
  <si>
    <t>Overige</t>
  </si>
  <si>
    <t>Inbreng</t>
  </si>
  <si>
    <t>Reserves + overgedragen</t>
  </si>
  <si>
    <t>Leningen</t>
  </si>
  <si>
    <t>R/C</t>
  </si>
  <si>
    <t>Lev + fisc/soc</t>
  </si>
  <si>
    <t>GECORRIGEERDE VRIJE CASH FLOW</t>
  </si>
  <si>
    <t>Prognose</t>
  </si>
  <si>
    <t>(12 maanden)</t>
  </si>
  <si>
    <t>Normalisatiefactor (12 / aantal maanden)</t>
  </si>
  <si>
    <t>Omzet</t>
  </si>
  <si>
    <t>Verkopen</t>
  </si>
  <si>
    <t>Export</t>
  </si>
  <si>
    <t>Commissie</t>
  </si>
  <si>
    <t>Cardetailing</t>
  </si>
  <si>
    <t>Verhuur</t>
  </si>
  <si>
    <t>Doorrekening</t>
  </si>
  <si>
    <t>- Aankopen</t>
  </si>
  <si>
    <t>Aankopen</t>
  </si>
  <si>
    <t>Onderaanneming</t>
  </si>
  <si>
    <t>Leasingkosten</t>
  </si>
  <si>
    <t>Vooraadwijziging (+/-)</t>
  </si>
  <si>
    <t>= Bruto marge</t>
  </si>
  <si>
    <t>- Transportkosten</t>
  </si>
  <si>
    <t>= Contributiemarge</t>
  </si>
  <si>
    <t>- Diensten en diverse goederen</t>
  </si>
  <si>
    <t>Huur (610)</t>
  </si>
  <si>
    <t>Kosten gebouw (611)</t>
  </si>
  <si>
    <t>Kantoor &amp; informatica (612)</t>
  </si>
  <si>
    <t>Kosten wagenpark (613)</t>
  </si>
  <si>
    <t>Marketing (614)</t>
  </si>
  <si>
    <t>Overige (615)</t>
  </si>
  <si>
    <t>Bezoldiging bedrijfsleiders</t>
  </si>
  <si>
    <t>- Personeelskosten (incl. interims)</t>
  </si>
  <si>
    <t>+ Overige bedrijfsopbrengsten</t>
  </si>
  <si>
    <t>- Overige bedrijfskosten</t>
  </si>
  <si>
    <t>+ Financiële operationele opbrengsten</t>
  </si>
  <si>
    <t>- Opbrengsten beschikbare waarden (6)</t>
  </si>
  <si>
    <t>- Financiële operationele kosten</t>
  </si>
  <si>
    <t>- Intresten op RC/net debt (5)</t>
  </si>
  <si>
    <r>
      <t xml:space="preserve">- Normalisaties (operationeel) </t>
    </r>
    <r>
      <rPr>
        <b/>
        <sz val="10"/>
        <rFont val="Arial"/>
        <family val="2"/>
      </rPr>
      <t>(1)</t>
    </r>
  </si>
  <si>
    <t>controle</t>
  </si>
  <si>
    <t>= EBITDA</t>
  </si>
  <si>
    <t>weerhouden EBITDA</t>
  </si>
  <si>
    <r>
      <t xml:space="preserve">- Vervangingsinvesteringen </t>
    </r>
    <r>
      <rPr>
        <b/>
        <sz val="10"/>
        <rFont val="Arial"/>
        <family val="2"/>
      </rPr>
      <t>(2)</t>
    </r>
  </si>
  <si>
    <t>= EBIT</t>
  </si>
  <si>
    <t>+ Financiële opbrengsten</t>
  </si>
  <si>
    <t>- Financiële kosten</t>
  </si>
  <si>
    <r>
      <t xml:space="preserve">- Normalisaties (financieel) </t>
    </r>
    <r>
      <rPr>
        <b/>
        <sz val="10"/>
        <rFont val="Arial"/>
        <family val="2"/>
      </rPr>
      <t>(3)</t>
    </r>
  </si>
  <si>
    <t>= Vrije cash flow vóór belastingen</t>
  </si>
  <si>
    <t>weerhouden FCF</t>
  </si>
  <si>
    <t>- Belastingen (25%)</t>
  </si>
  <si>
    <t>= Vrije Cash Flow na belastingen</t>
  </si>
  <si>
    <r>
      <t xml:space="preserve">Wegingsfactor </t>
    </r>
    <r>
      <rPr>
        <b/>
        <sz val="10"/>
        <rFont val="Arial"/>
        <family val="2"/>
      </rPr>
      <t>(4)</t>
    </r>
  </si>
  <si>
    <t>Weerhouden FCF na belastingen</t>
  </si>
  <si>
    <t>afgerond :</t>
  </si>
  <si>
    <t>(1) Navolgende operationele normalisaties worden doorgevoerd :</t>
  </si>
  <si>
    <t>a) Normalisatie bestuurdersvergoeding</t>
  </si>
  <si>
    <t>[Marktconforme bestuurdersvergoeding van ... EUR (totale kost) voor ... fulltime bestuurder(s), ter vervanging van de huidige bezoldiging (618) - of: geen normalisatie.]</t>
  </si>
  <si>
    <t>618... - Bezoldiging bestuurder</t>
  </si>
  <si>
    <t>618... - Voordelen alle aard</t>
  </si>
  <si>
    <t>618... - Overige</t>
  </si>
  <si>
    <t>Normalisatie</t>
  </si>
  <si>
    <t>Genormaliseerde vergoeding (invoer)</t>
  </si>
  <si>
    <t>b) Vervangingshuur</t>
  </si>
  <si>
    <t>[Huursituatie: eigenaar van het pand / huur van verbonden partij met marktconforme huur van ... / huur van derde partij (reële huur weerhouden).]</t>
  </si>
  <si>
    <t>610... - Huur</t>
  </si>
  <si>
    <t>Marktconforme huur (invoer)</t>
  </si>
  <si>
    <t>c) Normalisatie kosten</t>
  </si>
  <si>
    <t>[Te normaliseren kosten of: Er worden geen kosten genormaliseerd.]</t>
  </si>
  <si>
    <t>[rekening - omschrijving]</t>
  </si>
  <si>
    <t>(2) Vervangingsinvesteringen :</t>
  </si>
  <si>
    <t>De vervangingsinvesteringen werden bepaald op basis van de aanschaffingswaarde van de activa vermeld op de afschrijvingstabel na aftrek van een eventuele restwaarde en economische gebruiksduur afhankelijk van het type activa (zie afzonderlijke berekening).</t>
  </si>
  <si>
    <t>(3) Normalisaties financieel :</t>
  </si>
  <si>
    <t>[Correctie voor een fictieve financiering van het werkkapitaal (zie goodwill, 4% op het bedrag in Goodwill!E118) en eventuele andere financiële normalisaties, bv. intrest op de R/C bestuurder.]</t>
  </si>
  <si>
    <t>(4) Wegingscoefficiënt</t>
  </si>
  <si>
    <t>[Motivering van de weging van de boekjaren en de prognose.]</t>
  </si>
  <si>
    <t>Berekeningstabel inflatievoet en OLO</t>
  </si>
  <si>
    <t>Bron:</t>
  </si>
  <si>
    <t xml:space="preserve">  - Inflatie (historisch) :</t>
  </si>
  <si>
    <t>https://nl.inflation.eu/inflatiecijfers/belgie/historische-inflatie/cpi-inflatie-</t>
  </si>
  <si>
    <t>belgie.aspx</t>
  </si>
  <si>
    <t xml:space="preserve">  - Inflatie (toekomst) :</t>
  </si>
  <si>
    <t>https://www.plan.be/databases/17-nl-indexcijfer+der+consumptieprijzen</t>
  </si>
  <si>
    <t>+inflatievooruitzichten</t>
  </si>
  <si>
    <t xml:space="preserve">  - OLO (historisch) :</t>
  </si>
  <si>
    <t>http://stat.nbb.be/Index.aspx?DataSetCode=IRTRCERT&amp;lang=nl</t>
  </si>
  <si>
    <t xml:space="preserve">  - OLO (toekomst) :</t>
  </si>
  <si>
    <t>geen gegevens beschikbaar</t>
  </si>
  <si>
    <t>Gegevens :</t>
  </si>
  <si>
    <t>Jaar</t>
  </si>
  <si>
    <t>Inflatie</t>
  </si>
  <si>
    <t>OLO rentevoet</t>
  </si>
  <si>
    <t>20 jaar</t>
  </si>
  <si>
    <t>30 jaar</t>
  </si>
  <si>
    <t>Gemiddelde laatste 10 jaar</t>
  </si>
  <si>
    <t>Gemiddelde laatste 10 jaar + T</t>
  </si>
  <si>
    <t>Gemiddelde laatste 20 jaar</t>
  </si>
  <si>
    <t>Gemiddelde laatste 20 jaar + T</t>
  </si>
  <si>
    <t>RENDEMENTSWAARDE</t>
  </si>
  <si>
    <t>(gemiddelde van methode 1 en methode 2)</t>
  </si>
  <si>
    <t>rendementswaarde methode 1</t>
  </si>
  <si>
    <t>rendementswaarde methode 2</t>
  </si>
  <si>
    <t>rendementswaarde</t>
  </si>
  <si>
    <t>RENDEMENTSWAARDE METHODE 1</t>
  </si>
  <si>
    <t>gecorrigeerde vrije cash flow</t>
  </si>
  <si>
    <t xml:space="preserve">rendementseis op geïnvesteerd vermogen </t>
  </si>
  <si>
    <t>equity multiple</t>
  </si>
  <si>
    <t>(cf. berekening goodwill + 4% risicopremie)</t>
  </si>
  <si>
    <t>+ overtollig vermogen</t>
  </si>
  <si>
    <t>RENDEMENTSWAARDE METHODE 2</t>
  </si>
  <si>
    <t>genormaliseerde vrije cash flow</t>
  </si>
  <si>
    <t xml:space="preserve">Terugverdienperiode </t>
  </si>
  <si>
    <t>vrije cash flow vóór belastingen</t>
  </si>
  <si>
    <t>normale interest voor financiering</t>
  </si>
  <si>
    <t>(OLO 20jaar)</t>
  </si>
  <si>
    <t>te ontlenen kapitaal met cash flow</t>
  </si>
  <si>
    <t>EUR</t>
  </si>
  <si>
    <t>kapitaal</t>
  </si>
  <si>
    <t>interest</t>
  </si>
  <si>
    <t>winst voor</t>
  </si>
  <si>
    <t>belasting</t>
  </si>
  <si>
    <t xml:space="preserve">winst na </t>
  </si>
  <si>
    <t>jaar 1</t>
  </si>
  <si>
    <t>jaar 2</t>
  </si>
  <si>
    <t>jaar 3</t>
  </si>
  <si>
    <t>jaar 4</t>
  </si>
  <si>
    <t>jaar 5</t>
  </si>
  <si>
    <t>jaar 6</t>
  </si>
  <si>
    <t>jaar 7</t>
  </si>
  <si>
    <r>
      <t>sociaal passief</t>
    </r>
    <r>
      <rPr>
        <i/>
        <vertAlign val="superscript"/>
        <sz val="10"/>
        <rFont val="Arial"/>
        <family val="2"/>
      </rPr>
      <t xml:space="preserve"> (1)</t>
    </r>
  </si>
  <si>
    <t>extra liquidatiebelasting</t>
  </si>
  <si>
    <t>vennootschapsbelasting (25 %)</t>
  </si>
  <si>
    <t>liquidatiebelasting (0%)</t>
  </si>
  <si>
    <t>actualisatievoet (2)</t>
  </si>
  <si>
    <t>gecorrigeerd eigen vermogen bij onmiddellijke liquidatie</t>
  </si>
  <si>
    <t>(1) Sociaal passief :</t>
  </si>
  <si>
    <t xml:space="preserve">Het betreft zowel bedienden als arbeiders. In het kader van de overgang naar het eenheidsstatuut </t>
  </si>
  <si>
    <t>wordt voor zowel de bedienden als de arbeiders rekening gehouden met een gemiddelde opzeg-</t>
  </si>
  <si>
    <t>termijn van 2 maand.</t>
  </si>
  <si>
    <t>Bezoldiging arbeiders + bedienden</t>
  </si>
  <si>
    <t xml:space="preserve">code 620/621 </t>
  </si>
  <si>
    <t>aantal maanden</t>
  </si>
  <si>
    <t>1/6</t>
  </si>
  <si>
    <t>Sociaal passief</t>
  </si>
  <si>
    <t>Belastingsvoet</t>
  </si>
  <si>
    <t>Weerhouden sociaal passief</t>
  </si>
  <si>
    <t>Arbeiders:</t>
  </si>
  <si>
    <t>Bezoldiging arbeiders</t>
  </si>
  <si>
    <t>Aantal maanden</t>
  </si>
  <si>
    <t>Totale kost sociaal passief</t>
  </si>
  <si>
    <t xml:space="preserve">(2) Er wordt rekening gehouden met een actualisatievoet van </t>
  </si>
  <si>
    <t>vereist risicoloos rendement (OLO 20 jaar + 1,5%)</t>
  </si>
  <si>
    <t>excess vermogen</t>
  </si>
  <si>
    <t>MARKTWAARDE OBV EBITDA</t>
  </si>
  <si>
    <t>Waarde</t>
  </si>
  <si>
    <t>Weging</t>
  </si>
  <si>
    <t>Weerhouden</t>
  </si>
  <si>
    <t>Gewogen gemiddelde EBITDA (afgerond)</t>
  </si>
  <si>
    <t>Weerhouden multiplicator obv VLERICK M&amp;A Monitor [jaar] ([sector])</t>
  </si>
  <si>
    <t>Ondernemingswaarde</t>
  </si>
  <si>
    <r>
      <t xml:space="preserve">+ aanvullende activa </t>
    </r>
    <r>
      <rPr>
        <i/>
        <sz val="10"/>
        <rFont val="Arial"/>
        <family val="2"/>
      </rPr>
      <t>(cash + RC) / - net debt</t>
    </r>
  </si>
  <si>
    <t>- debt (1)</t>
  </si>
  <si>
    <t>Marktwaarde obv EBITDA</t>
  </si>
  <si>
    <t xml:space="preserve">  afgerond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</si>
</sst>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 &quot;€&quot;_-;\-* #,##0.00\ &quot;€&quot;_-;_-* &quot;-&quot;??\ &quot;€&quot;_-;_-@_-"/>
    <numFmt numFmtId="165" formatCode="_-* #,##0.00\ _€_-;\-* #,##0.00\ _€_-;_-* &quot;-&quot;??\ _€_-;_-@_-"/>
    <numFmt numFmtId="166" formatCode="0.0%"/>
    <numFmt numFmtId="167" formatCode="#,##0\ &quot;€&quot;"/>
    <numFmt numFmtId="168" formatCode="_-* #,##0\ _€_-;\-* #,##0\ _€_-;_-* &quot;-&quot;??\ _€_-;_-@_-"/>
    <numFmt numFmtId="169" formatCode="#,##0.00_);[Red]\(#,##0.00\)"/>
    <numFmt numFmtId="170" formatCode="#,##0.0000"/>
    <numFmt numFmtId="171" formatCode="&quot;x&quot;\ 0.00"/>
    <numFmt numFmtId="172" formatCode="&quot;d.d. &quot;d/mm/yyyy"/>
    <numFmt numFmtId="173" formatCode="d/mm/yy;@"/>
    <numFmt numFmtId="174" formatCode="#,##0.00_ ;[Red]\-#,##0.00\ "/>
    <numFmt numFmtId="175" formatCode="_-* #,##0\ &quot;€&quot;_-;\-* #,##0\ &quot;€&quot;_-;_-* &quot;-&quot;??\ &quot;€&quot;_-;_-@_-"/>
    <numFmt numFmtId="176" formatCode="0.00\ %"/>
    <numFmt numFmtId="177" formatCode="0.0"/>
    <numFmt numFmtId="178" formatCode="#,##0.0"/>
  </numFmts>
  <fonts count="76" x14ac:knownFonts="1">
    <font>
      <sz val="10"/>
      <name val="Arial"/>
    </font>
    <font>
      <sz val="10"/>
      <color theme="1"/>
      <name val="Arial"/>
      <family val="2"/>
    </font>
    <font>
      <sz val="10"/>
      <color theme="1"/>
      <name val="Arial"/>
      <family val="2"/>
    </font>
    <font>
      <sz val="10"/>
      <name val="Arial"/>
      <family val="2"/>
    </font>
    <font>
      <sz val="8"/>
      <name val="Arial"/>
      <family val="2"/>
    </font>
    <font>
      <b/>
      <sz val="10"/>
      <name val="Arial"/>
      <family val="2"/>
    </font>
    <font>
      <sz val="10"/>
      <name val="Arial"/>
      <family val="2"/>
    </font>
    <font>
      <u/>
      <sz val="10"/>
      <name val="Arial"/>
      <family val="2"/>
    </font>
    <font>
      <b/>
      <u/>
      <sz val="10"/>
      <name val="Arial"/>
      <family val="2"/>
    </font>
    <font>
      <sz val="10"/>
      <name val="Arial"/>
      <family val="2"/>
    </font>
    <font>
      <b/>
      <i/>
      <sz val="10"/>
      <name val="Arial"/>
      <family val="2"/>
    </font>
    <font>
      <i/>
      <sz val="10"/>
      <name val="Arial"/>
      <family val="2"/>
    </font>
    <font>
      <vertAlign val="superscript"/>
      <sz val="10"/>
      <name val="Arial"/>
      <family val="2"/>
    </font>
    <font>
      <b/>
      <i/>
      <u/>
      <sz val="10"/>
      <name val="Arial"/>
      <family val="2"/>
    </font>
    <font>
      <b/>
      <i/>
      <sz val="11"/>
      <name val="Arial"/>
      <family val="2"/>
    </font>
    <font>
      <i/>
      <vertAlign val="superscript"/>
      <sz val="10"/>
      <name val="Arial"/>
      <family val="2"/>
    </font>
    <font>
      <sz val="10"/>
      <name val="Times New Roman"/>
      <family val="1"/>
    </font>
    <font>
      <sz val="12"/>
      <name val="Times New Roman"/>
      <family val="1"/>
    </font>
    <font>
      <sz val="10"/>
      <name val="MS Sans Serif"/>
      <family val="2"/>
    </font>
    <font>
      <sz val="9"/>
      <name val="Tahoma"/>
      <family val="2"/>
    </font>
    <font>
      <i/>
      <sz val="10"/>
      <color indexed="62"/>
      <name val="Arial"/>
      <family val="2"/>
    </font>
    <font>
      <sz val="10"/>
      <color indexed="62"/>
      <name val="Arial"/>
      <family val="2"/>
    </font>
    <font>
      <i/>
      <u/>
      <sz val="10"/>
      <name val="Arial"/>
      <family val="2"/>
    </font>
    <font>
      <sz val="10"/>
      <color indexed="23"/>
      <name val="Arial"/>
      <family val="2"/>
    </font>
    <font>
      <b/>
      <sz val="10"/>
      <color indexed="23"/>
      <name val="Arial"/>
      <family val="2"/>
    </font>
    <font>
      <u/>
      <sz val="10"/>
      <color indexed="12"/>
      <name val="Arial"/>
      <family val="2"/>
    </font>
    <font>
      <sz val="11"/>
      <color theme="1"/>
      <name val="Calibri"/>
      <family val="2"/>
      <scheme val="minor"/>
    </font>
    <font>
      <sz val="12"/>
      <name val="Arial"/>
      <family val="2"/>
    </font>
    <font>
      <u/>
      <sz val="8"/>
      <name val="Arial"/>
      <family val="2"/>
    </font>
    <font>
      <b/>
      <sz val="8"/>
      <name val="Arial"/>
      <family val="2"/>
    </font>
    <font>
      <sz val="9"/>
      <name val="Arial"/>
      <family val="2"/>
    </font>
    <font>
      <b/>
      <u/>
      <sz val="8"/>
      <name val="Arial"/>
      <family val="2"/>
    </font>
    <font>
      <sz val="10"/>
      <color theme="0"/>
      <name val="Arial"/>
      <family val="2"/>
    </font>
    <font>
      <b/>
      <sz val="12"/>
      <name val="Times New Roman"/>
      <family val="1"/>
    </font>
    <font>
      <i/>
      <sz val="12"/>
      <name val="Times New Roman"/>
      <family val="1"/>
    </font>
    <font>
      <sz val="10"/>
      <name val="Arial"/>
      <family val="2"/>
    </font>
    <font>
      <i/>
      <sz val="8"/>
      <name val="Arial"/>
      <family val="2"/>
    </font>
    <font>
      <sz val="12"/>
      <color theme="1"/>
      <name val="Calibri"/>
      <family val="2"/>
      <scheme val="minor"/>
    </font>
    <font>
      <sz val="10"/>
      <name val="Arial"/>
      <family val="2"/>
    </font>
    <font>
      <b/>
      <u/>
      <sz val="10"/>
      <color theme="1"/>
      <name val="Arial"/>
      <family val="2"/>
    </font>
    <font>
      <b/>
      <i/>
      <u/>
      <sz val="10"/>
      <color indexed="8"/>
      <name val="Arial"/>
      <family val="2"/>
    </font>
    <font>
      <b/>
      <sz val="10"/>
      <color theme="1"/>
      <name val="Arial"/>
      <family val="2"/>
    </font>
    <font>
      <i/>
      <sz val="10"/>
      <color theme="1"/>
      <name val="Arial"/>
      <family val="2"/>
    </font>
    <font>
      <sz val="10"/>
      <color rgb="FF000000"/>
      <name val="Arial"/>
      <family val="2"/>
    </font>
    <font>
      <sz val="10"/>
      <color rgb="FF000000"/>
      <name val="Arial"/>
      <family val="2"/>
    </font>
    <font>
      <sz val="10"/>
      <name val="Verdana"/>
      <family val="2"/>
    </font>
    <font>
      <sz val="12"/>
      <color rgb="FF000000"/>
      <name val="Calibri"/>
      <family val="2"/>
    </font>
    <font>
      <sz val="9"/>
      <name val="Calibri"/>
      <family val="2"/>
      <scheme val="minor"/>
    </font>
    <font>
      <sz val="9"/>
      <color rgb="FF0070C0"/>
      <name val="Calibri"/>
      <family val="2"/>
      <scheme val="minor"/>
    </font>
    <font>
      <sz val="10"/>
      <name val="Arial"/>
      <family val="2"/>
    </font>
    <font>
      <sz val="10"/>
      <color rgb="FFFF0000"/>
      <name val="Arial"/>
      <family val="2"/>
    </font>
    <font>
      <sz val="8"/>
      <color rgb="FF000000"/>
      <name val="Arial"/>
      <family val="2"/>
    </font>
    <font>
      <b/>
      <sz val="10"/>
      <color rgb="FFFF0000"/>
      <name val="Arial"/>
      <family val="2"/>
    </font>
    <font>
      <i/>
      <sz val="10"/>
      <color rgb="FFFF0000"/>
      <name val="Arial"/>
      <family val="2"/>
    </font>
    <font>
      <b/>
      <sz val="10"/>
      <name val="Times New Roman"/>
      <family val="1"/>
    </font>
    <font>
      <sz val="10"/>
      <color rgb="FF000000"/>
      <name val="Times New Roman"/>
      <family val="1"/>
    </font>
    <font>
      <b/>
      <sz val="8"/>
      <color rgb="FF000000"/>
      <name val="Arial"/>
      <family val="2"/>
    </font>
    <font>
      <sz val="10"/>
      <color rgb="FF0070C0"/>
      <name val="Arial"/>
      <family val="2"/>
    </font>
    <font>
      <sz val="12"/>
      <color rgb="FF000000"/>
      <name val="Arial"/>
      <family val="2"/>
    </font>
    <font>
      <sz val="8"/>
      <name val="Arial"/>
      <family val="2"/>
    </font>
    <font>
      <sz val="11"/>
      <color rgb="FF000000"/>
      <name val="Arial Narrow"/>
      <family val="2"/>
    </font>
    <font>
      <b/>
      <sz val="10"/>
      <color theme="0"/>
      <name val="Arial"/>
      <family val="2"/>
    </font>
    <font>
      <b/>
      <u/>
      <sz val="10"/>
      <color theme="0"/>
      <name val="Arial"/>
      <family val="2"/>
    </font>
    <font>
      <i/>
      <sz val="10"/>
      <color theme="0"/>
      <name val="Arial"/>
      <family val="2"/>
    </font>
    <font>
      <b/>
      <sz val="14"/>
      <name val="Arial"/>
      <family val="2"/>
    </font>
    <font>
      <b/>
      <sz val="12"/>
      <name val="Arial"/>
      <family val="2"/>
    </font>
    <font>
      <b/>
      <sz val="11"/>
      <color theme="0"/>
      <name val="Arial"/>
      <family val="2"/>
    </font>
    <font>
      <b/>
      <sz val="11"/>
      <name val="Arial"/>
      <family val="2"/>
    </font>
    <font>
      <sz val="11"/>
      <name val="Arial"/>
      <family val="2"/>
    </font>
    <font>
      <sz val="9"/>
      <color rgb="FF000000"/>
      <name val="Arial"/>
      <family val="2"/>
    </font>
    <font>
      <b/>
      <sz val="11"/>
      <color rgb="FFFF0000"/>
      <name val="Arial"/>
      <family val="2"/>
    </font>
    <font>
      <b/>
      <sz val="11"/>
      <color rgb="FF000000"/>
      <name val="Arial Narrow"/>
      <family val="2"/>
    </font>
    <font>
      <b/>
      <sz val="10"/>
      <color rgb="FF00B050"/>
      <name val="Arial"/>
      <family val="2"/>
    </font>
    <font>
      <b/>
      <i/>
      <sz val="10"/>
      <color theme="0"/>
      <name val="Arial"/>
      <family val="2"/>
    </font>
    <font>
      <b/>
      <sz val="11"/>
      <color rgb="FFFFFFFF"/>
      <name val="Calibri"/>
      <family val="2"/>
    </font>
    <font>
      <b/>
      <sz val="11"/>
      <name val="Calibri"/>
      <family val="2"/>
    </font>
  </fonts>
  <fills count="18">
    <fill>
      <patternFill patternType="none"/>
    </fill>
    <fill>
      <patternFill patternType="gray125"/>
    </fill>
    <fill>
      <patternFill patternType="solid">
        <fgColor indexed="22"/>
        <bgColor indexed="64"/>
      </patternFill>
    </fill>
    <fill>
      <patternFill patternType="solid">
        <fgColor indexed="22"/>
        <bgColor indexed="22"/>
      </patternFill>
    </fill>
    <fill>
      <patternFill patternType="solid">
        <fgColor theme="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7D6E7"/>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D9D9D9"/>
        <bgColor rgb="FFD9D9D9"/>
      </patternFill>
    </fill>
    <fill>
      <patternFill patternType="solid">
        <fgColor theme="4" tint="0.79998168889431442"/>
        <bgColor indexed="64"/>
      </patternFill>
    </fill>
    <fill>
      <patternFill patternType="solid">
        <fgColor theme="3" tint="-0.249977111117893"/>
        <bgColor indexed="64"/>
      </patternFill>
    </fill>
    <fill>
      <patternFill patternType="solid">
        <fgColor rgb="FF4472C4"/>
        <bgColor rgb="FF4472C4"/>
      </patternFill>
    </fill>
    <fill>
      <patternFill patternType="solid">
        <fgColor rgb="FFFCE4D6"/>
        <bgColor rgb="FFFCE4D6"/>
      </patternFill>
    </fill>
  </fills>
  <borders count="45">
    <border>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3"/>
      </left>
      <right/>
      <top style="thin">
        <color indexed="64"/>
      </top>
      <bottom/>
      <diagonal/>
    </border>
    <border>
      <left/>
      <right style="thin">
        <color theme="3"/>
      </right>
      <top/>
      <bottom style="thin">
        <color indexed="64"/>
      </bottom>
      <diagonal/>
    </border>
    <border>
      <left style="thin">
        <color theme="3"/>
      </left>
      <right style="thin">
        <color theme="3"/>
      </right>
      <top/>
      <bottom style="thin">
        <color indexed="64"/>
      </bottom>
      <diagonal/>
    </border>
    <border>
      <left style="thin">
        <color theme="3"/>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style="thin">
        <color auto="1"/>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right/>
      <top style="thin">
        <color indexed="64"/>
      </top>
      <bottom style="double">
        <color indexed="64"/>
      </bottom>
      <diagonal/>
    </border>
  </borders>
  <cellStyleXfs count="63">
    <xf numFmtId="0" fontId="0" fillId="0" borderId="0"/>
    <xf numFmtId="164" fontId="3"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25" fillId="0" borderId="0" applyNumberFormat="0" applyFill="0" applyBorder="0" applyAlignment="0" applyProtection="0">
      <alignment vertical="top"/>
      <protection locked="0"/>
    </xf>
    <xf numFmtId="165" fontId="3"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9" fontId="18" fillId="0" borderId="0" applyFont="0" applyFill="0" applyBorder="0" applyAlignment="0" applyProtection="0"/>
    <xf numFmtId="165" fontId="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NumberFormat="0" applyFill="0" applyBorder="0" applyAlignment="0" applyProtection="0"/>
    <xf numFmtId="0" fontId="6" fillId="0" borderId="0"/>
    <xf numFmtId="0" fontId="6" fillId="0" borderId="0"/>
    <xf numFmtId="0" fontId="6" fillId="0" borderId="0"/>
    <xf numFmtId="0" fontId="16" fillId="0" borderId="0"/>
    <xf numFmtId="0" fontId="18" fillId="0" borderId="0"/>
    <xf numFmtId="0" fontId="18" fillId="0" borderId="0"/>
    <xf numFmtId="0" fontId="6" fillId="0" borderId="0"/>
    <xf numFmtId="0" fontId="19" fillId="0" borderId="0"/>
    <xf numFmtId="0" fontId="26" fillId="0" borderId="0"/>
    <xf numFmtId="0" fontId="18" fillId="0" borderId="0"/>
    <xf numFmtId="0" fontId="3" fillId="0" borderId="0"/>
    <xf numFmtId="165" fontId="35" fillId="0" borderId="0" applyFont="0" applyFill="0" applyBorder="0" applyAlignment="0" applyProtection="0"/>
    <xf numFmtId="165" fontId="3" fillId="0" borderId="0" applyFont="0" applyFill="0" applyBorder="0" applyAlignment="0" applyProtection="0"/>
    <xf numFmtId="0" fontId="3" fillId="0" borderId="0"/>
    <xf numFmtId="0" fontId="37" fillId="0" borderId="0"/>
    <xf numFmtId="9" fontId="38" fillId="0" borderId="0" applyFont="0" applyFill="0" applyBorder="0" applyAlignment="0" applyProtection="0"/>
    <xf numFmtId="0" fontId="44" fillId="8" borderId="35"/>
    <xf numFmtId="164" fontId="49" fillId="0" borderId="0" applyFont="0" applyFill="0" applyBorder="0" applyAlignment="0" applyProtection="0"/>
    <xf numFmtId="165" fontId="3" fillId="0" borderId="0" applyFont="0" applyFill="0" applyBorder="0" applyAlignment="0" applyProtection="0"/>
    <xf numFmtId="0" fontId="43" fillId="8" borderId="35"/>
    <xf numFmtId="0" fontId="16" fillId="0" borderId="0"/>
    <xf numFmtId="0" fontId="55" fillId="8" borderId="35"/>
    <xf numFmtId="0" fontId="51" fillId="0" borderId="0"/>
    <xf numFmtId="0" fontId="51" fillId="0" borderId="0"/>
    <xf numFmtId="0" fontId="56" fillId="0" borderId="0"/>
    <xf numFmtId="0" fontId="3" fillId="0" borderId="0"/>
    <xf numFmtId="9" fontId="3" fillId="0" borderId="0" applyFont="0" applyFill="0" applyBorder="0" applyAlignment="0" applyProtection="0"/>
    <xf numFmtId="0" fontId="26" fillId="0" borderId="0"/>
    <xf numFmtId="0" fontId="58" fillId="0" borderId="0">
      <alignment horizontal="left" vertical="top" wrapText="1"/>
    </xf>
    <xf numFmtId="0" fontId="1" fillId="0" borderId="0"/>
  </cellStyleXfs>
  <cellXfs count="915">
    <xf numFmtId="0" fontId="0" fillId="0" borderId="0" xfId="0"/>
    <xf numFmtId="4" fontId="0" fillId="0" borderId="0" xfId="0" applyNumberFormat="1"/>
    <xf numFmtId="0" fontId="5" fillId="0" borderId="0" xfId="0" applyFont="1"/>
    <xf numFmtId="0" fontId="6" fillId="0" borderId="0" xfId="0" applyFont="1"/>
    <xf numFmtId="4" fontId="5" fillId="0" borderId="0" xfId="0" applyNumberFormat="1" applyFont="1"/>
    <xf numFmtId="0" fontId="5" fillId="0" borderId="0" xfId="0" applyFont="1" applyAlignment="1">
      <alignment vertical="center"/>
    </xf>
    <xf numFmtId="0" fontId="6" fillId="0" borderId="0" xfId="0" applyFont="1" applyAlignment="1">
      <alignment vertical="center"/>
    </xf>
    <xf numFmtId="4" fontId="6" fillId="0" borderId="0" xfId="0" applyNumberFormat="1" applyFont="1"/>
    <xf numFmtId="0" fontId="8" fillId="0" borderId="0" xfId="0" applyFont="1"/>
    <xf numFmtId="4" fontId="11" fillId="0" borderId="0" xfId="0" applyNumberFormat="1" applyFont="1"/>
    <xf numFmtId="0" fontId="7" fillId="0" borderId="0" xfId="0" applyFont="1" applyAlignment="1">
      <alignment horizontal="left"/>
    </xf>
    <xf numFmtId="0" fontId="11" fillId="0" borderId="0" xfId="0" applyFont="1"/>
    <xf numFmtId="0" fontId="12" fillId="0" borderId="0" xfId="0" quotePrefix="1" applyFont="1"/>
    <xf numFmtId="0" fontId="5" fillId="0" borderId="0" xfId="0" applyFont="1" applyAlignment="1">
      <alignment horizontal="center"/>
    </xf>
    <xf numFmtId="167" fontId="6" fillId="0" borderId="0" xfId="0" applyNumberFormat="1" applyFont="1"/>
    <xf numFmtId="3" fontId="5" fillId="0" borderId="0" xfId="0" applyNumberFormat="1" applyFont="1" applyAlignment="1">
      <alignment vertical="center"/>
    </xf>
    <xf numFmtId="0" fontId="5" fillId="0" borderId="0" xfId="0" quotePrefix="1" applyFont="1" applyAlignment="1">
      <alignment vertical="center"/>
    </xf>
    <xf numFmtId="164" fontId="5" fillId="2" borderId="5" xfId="12" applyNumberFormat="1" applyFont="1" applyFill="1" applyBorder="1" applyAlignment="1">
      <alignment vertical="center"/>
    </xf>
    <xf numFmtId="4" fontId="7" fillId="0" borderId="0" xfId="0" applyNumberFormat="1" applyFont="1" applyAlignment="1">
      <alignment horizontal="right"/>
    </xf>
    <xf numFmtId="4" fontId="0" fillId="0" borderId="5" xfId="0" applyNumberFormat="1" applyBorder="1"/>
    <xf numFmtId="0" fontId="13" fillId="0" borderId="0" xfId="0" applyFont="1"/>
    <xf numFmtId="4" fontId="11" fillId="0" borderId="0" xfId="0" applyNumberFormat="1" applyFont="1" applyAlignment="1">
      <alignment horizontal="right"/>
    </xf>
    <xf numFmtId="0" fontId="14" fillId="0" borderId="0" xfId="0" applyFont="1"/>
    <xf numFmtId="167" fontId="11" fillId="0" borderId="0" xfId="0" applyNumberFormat="1" applyFont="1"/>
    <xf numFmtId="0" fontId="11" fillId="0" borderId="0" xfId="0" applyFont="1" applyAlignment="1">
      <alignment horizontal="right"/>
    </xf>
    <xf numFmtId="0" fontId="11" fillId="0" borderId="2" xfId="0" applyFont="1" applyBorder="1"/>
    <xf numFmtId="0" fontId="11" fillId="0" borderId="2" xfId="0" applyFont="1" applyBorder="1" applyAlignment="1">
      <alignment horizontal="right"/>
    </xf>
    <xf numFmtId="0" fontId="3" fillId="0" borderId="0" xfId="0" applyFont="1"/>
    <xf numFmtId="0" fontId="17" fillId="0" borderId="0" xfId="36" applyFont="1"/>
    <xf numFmtId="10" fontId="11" fillId="0" borderId="0" xfId="28" applyNumberFormat="1" applyFont="1" applyAlignment="1">
      <alignment horizontal="center"/>
    </xf>
    <xf numFmtId="165" fontId="11" fillId="0" borderId="0" xfId="18" applyFont="1"/>
    <xf numFmtId="10" fontId="11" fillId="0" borderId="0" xfId="28" applyNumberFormat="1" applyFont="1"/>
    <xf numFmtId="4" fontId="20" fillId="0" borderId="0" xfId="18" applyNumberFormat="1" applyFont="1" applyAlignment="1">
      <alignment horizontal="right"/>
    </xf>
    <xf numFmtId="4" fontId="11" fillId="0" borderId="0" xfId="18" applyNumberFormat="1" applyFont="1" applyAlignment="1">
      <alignment horizontal="right"/>
    </xf>
    <xf numFmtId="4" fontId="11" fillId="0" borderId="0" xfId="18" applyNumberFormat="1" applyFont="1" applyFill="1" applyAlignment="1">
      <alignment horizontal="right"/>
    </xf>
    <xf numFmtId="0" fontId="11" fillId="0" borderId="0" xfId="0" quotePrefix="1" applyFont="1" applyAlignment="1">
      <alignment horizontal="left" indent="2"/>
    </xf>
    <xf numFmtId="43" fontId="20" fillId="0" borderId="0" xfId="0" applyNumberFormat="1" applyFont="1"/>
    <xf numFmtId="10" fontId="21" fillId="0" borderId="0" xfId="28" applyNumberFormat="1" applyFont="1" applyFill="1" applyAlignment="1">
      <alignment horizontal="center"/>
    </xf>
    <xf numFmtId="10" fontId="21" fillId="0" borderId="0" xfId="28" applyNumberFormat="1" applyFont="1" applyAlignment="1">
      <alignment horizontal="center"/>
    </xf>
    <xf numFmtId="167" fontId="21" fillId="0" borderId="0" xfId="0" applyNumberFormat="1" applyFont="1"/>
    <xf numFmtId="165" fontId="21" fillId="0" borderId="0" xfId="18" applyFont="1"/>
    <xf numFmtId="14" fontId="5" fillId="0" borderId="0" xfId="18" applyNumberFormat="1" applyFont="1" applyAlignment="1">
      <alignment horizontal="center"/>
    </xf>
    <xf numFmtId="14" fontId="5" fillId="0" borderId="0" xfId="18" applyNumberFormat="1" applyFont="1" applyFill="1" applyAlignment="1">
      <alignment horizontal="center"/>
    </xf>
    <xf numFmtId="0" fontId="22" fillId="0" borderId="0" xfId="0" applyFont="1"/>
    <xf numFmtId="165" fontId="5" fillId="0" borderId="0" xfId="0" applyNumberFormat="1" applyFont="1"/>
    <xf numFmtId="165" fontId="5" fillId="0" borderId="0" xfId="18" applyFont="1"/>
    <xf numFmtId="0" fontId="23" fillId="0" borderId="0" xfId="0" applyFont="1"/>
    <xf numFmtId="165" fontId="5" fillId="0" borderId="0" xfId="18" applyFont="1" applyFill="1" applyBorder="1"/>
    <xf numFmtId="165" fontId="5" fillId="0" borderId="16" xfId="18" applyFont="1" applyFill="1" applyBorder="1"/>
    <xf numFmtId="165" fontId="23" fillId="0" borderId="0" xfId="18" applyFont="1"/>
    <xf numFmtId="43" fontId="23" fillId="0" borderId="0" xfId="0" applyNumberFormat="1" applyFont="1"/>
    <xf numFmtId="0" fontId="24" fillId="0" borderId="0" xfId="0" applyFont="1" applyAlignment="1">
      <alignment horizontal="center" vertical="center" wrapText="1"/>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167" fontId="5" fillId="0" borderId="5" xfId="0" applyNumberFormat="1" applyFont="1" applyBorder="1" applyAlignment="1">
      <alignment horizontal="center" vertical="center" wrapText="1"/>
    </xf>
    <xf numFmtId="165" fontId="5" fillId="0" borderId="5" xfId="18" applyFont="1" applyFill="1" applyBorder="1" applyAlignment="1">
      <alignment horizontal="center" vertical="center" wrapText="1"/>
    </xf>
    <xf numFmtId="0" fontId="5" fillId="0" borderId="5" xfId="0" applyFont="1" applyBorder="1" applyAlignment="1">
      <alignment horizontal="center" vertical="center"/>
    </xf>
    <xf numFmtId="43" fontId="11" fillId="0" borderId="0" xfId="0" applyNumberFormat="1" applyFont="1"/>
    <xf numFmtId="0" fontId="7" fillId="0" borderId="0" xfId="0" quotePrefix="1" applyFont="1"/>
    <xf numFmtId="10" fontId="8" fillId="0" borderId="0" xfId="22" applyNumberFormat="1" applyFont="1" applyFill="1"/>
    <xf numFmtId="0" fontId="7" fillId="0" borderId="0" xfId="0" applyFont="1" applyAlignment="1">
      <alignment horizontal="right"/>
    </xf>
    <xf numFmtId="3" fontId="0" fillId="0" borderId="0" xfId="0" applyNumberFormat="1"/>
    <xf numFmtId="2" fontId="0" fillId="0" borderId="0" xfId="0" applyNumberFormat="1"/>
    <xf numFmtId="0" fontId="3" fillId="0" borderId="0" xfId="0" applyFont="1" applyAlignment="1">
      <alignment horizontal="left"/>
    </xf>
    <xf numFmtId="4" fontId="3" fillId="0" borderId="0" xfId="0" applyNumberFormat="1" applyFont="1"/>
    <xf numFmtId="4" fontId="3" fillId="0" borderId="0" xfId="0" applyNumberFormat="1" applyFont="1" applyAlignment="1">
      <alignment horizontal="right"/>
    </xf>
    <xf numFmtId="3" fontId="3" fillId="0" borderId="0" xfId="0" applyNumberFormat="1" applyFont="1" applyAlignment="1">
      <alignment horizontal="right"/>
    </xf>
    <xf numFmtId="0" fontId="3" fillId="0" borderId="0" xfId="0" applyFont="1" applyAlignment="1">
      <alignment horizontal="right"/>
    </xf>
    <xf numFmtId="0" fontId="3" fillId="0" borderId="0" xfId="0" quotePrefix="1" applyFont="1"/>
    <xf numFmtId="10" fontId="3" fillId="0" borderId="0" xfId="22" applyNumberFormat="1" applyFont="1" applyFill="1" applyAlignment="1">
      <alignment horizontal="right"/>
    </xf>
    <xf numFmtId="10" fontId="3" fillId="0" borderId="0" xfId="0" applyNumberFormat="1" applyFont="1" applyAlignment="1">
      <alignment horizontal="left"/>
    </xf>
    <xf numFmtId="0" fontId="3" fillId="0" borderId="2" xfId="0" applyFont="1" applyBorder="1" applyAlignment="1">
      <alignment horizontal="right"/>
    </xf>
    <xf numFmtId="0" fontId="3" fillId="0" borderId="2" xfId="0" applyFont="1" applyBorder="1"/>
    <xf numFmtId="0" fontId="27" fillId="0" borderId="0" xfId="36" applyFont="1"/>
    <xf numFmtId="0" fontId="4" fillId="0" borderId="0" xfId="40" applyFont="1" applyAlignment="1">
      <alignment horizontal="right"/>
    </xf>
    <xf numFmtId="0" fontId="28" fillId="0" borderId="0" xfId="40" applyFont="1"/>
    <xf numFmtId="0" fontId="4" fillId="0" borderId="0" xfId="40" applyFont="1"/>
    <xf numFmtId="4" fontId="29" fillId="3" borderId="7" xfId="40" applyNumberFormat="1" applyFont="1" applyFill="1" applyBorder="1" applyAlignment="1" applyProtection="1">
      <alignment horizontal="center"/>
      <protection locked="0"/>
    </xf>
    <xf numFmtId="4" fontId="4" fillId="0" borderId="13" xfId="40" applyNumberFormat="1" applyFont="1" applyBorder="1" applyAlignment="1" applyProtection="1">
      <alignment horizontal="center"/>
      <protection locked="0"/>
    </xf>
    <xf numFmtId="4" fontId="4" fillId="0" borderId="13" xfId="40" applyNumberFormat="1" applyFont="1" applyBorder="1" applyProtection="1">
      <protection locked="0"/>
    </xf>
    <xf numFmtId="9" fontId="3" fillId="0" borderId="0" xfId="22" applyFont="1" applyAlignment="1">
      <alignment horizontal="center"/>
    </xf>
    <xf numFmtId="20" fontId="4" fillId="0" borderId="0" xfId="40" applyNumberFormat="1" applyFont="1" applyAlignment="1">
      <alignment horizontal="right"/>
    </xf>
    <xf numFmtId="4" fontId="4" fillId="0" borderId="14" xfId="40" applyNumberFormat="1" applyFont="1" applyBorder="1"/>
    <xf numFmtId="0" fontId="30" fillId="0" borderId="0" xfId="40" applyFont="1"/>
    <xf numFmtId="4" fontId="4" fillId="0" borderId="13" xfId="40" applyNumberFormat="1" applyFont="1" applyBorder="1"/>
    <xf numFmtId="0" fontId="31" fillId="0" borderId="0" xfId="40" applyFont="1"/>
    <xf numFmtId="4" fontId="29" fillId="0" borderId="7" xfId="40" applyNumberFormat="1" applyFont="1" applyBorder="1"/>
    <xf numFmtId="0" fontId="3" fillId="0" borderId="0" xfId="36" quotePrefix="1" applyFont="1" applyAlignment="1">
      <alignment horizontal="left"/>
    </xf>
    <xf numFmtId="0" fontId="3" fillId="0" borderId="0" xfId="36" applyFont="1"/>
    <xf numFmtId="4" fontId="3" fillId="0" borderId="0" xfId="36" applyNumberFormat="1" applyFont="1"/>
    <xf numFmtId="4" fontId="5" fillId="0" borderId="0" xfId="36" applyNumberFormat="1" applyFont="1"/>
    <xf numFmtId="0" fontId="3" fillId="0" borderId="0" xfId="0" applyFont="1" applyAlignment="1">
      <alignment horizontal="center"/>
    </xf>
    <xf numFmtId="0" fontId="3" fillId="0" borderId="0" xfId="36" quotePrefix="1" applyFont="1"/>
    <xf numFmtId="4" fontId="3" fillId="0" borderId="0" xfId="36" applyNumberFormat="1" applyFont="1" applyAlignment="1">
      <alignment horizontal="right"/>
    </xf>
    <xf numFmtId="10" fontId="3" fillId="0" borderId="0" xfId="23" applyNumberFormat="1" applyFont="1" applyAlignment="1">
      <alignment horizontal="right"/>
    </xf>
    <xf numFmtId="0" fontId="11" fillId="4" borderId="0" xfId="0" applyFont="1" applyFill="1"/>
    <xf numFmtId="0" fontId="11" fillId="4" borderId="0" xfId="0" applyFont="1" applyFill="1" applyAlignment="1">
      <alignment horizontal="right"/>
    </xf>
    <xf numFmtId="0" fontId="11" fillId="4" borderId="1" xfId="0" applyFont="1" applyFill="1" applyBorder="1"/>
    <xf numFmtId="0" fontId="11" fillId="4" borderId="10" xfId="0" applyFont="1" applyFill="1" applyBorder="1" applyAlignment="1">
      <alignment horizontal="right"/>
    </xf>
    <xf numFmtId="0" fontId="11" fillId="4" borderId="3" xfId="0" applyFont="1" applyFill="1" applyBorder="1"/>
    <xf numFmtId="0" fontId="11" fillId="4" borderId="4" xfId="0" applyFont="1" applyFill="1" applyBorder="1" applyAlignment="1">
      <alignment horizontal="right"/>
    </xf>
    <xf numFmtId="0" fontId="11" fillId="4" borderId="3" xfId="0" applyFont="1" applyFill="1" applyBorder="1" applyAlignment="1">
      <alignment horizontal="right"/>
    </xf>
    <xf numFmtId="4" fontId="11" fillId="4" borderId="4" xfId="0" applyNumberFormat="1" applyFont="1" applyFill="1" applyBorder="1" applyAlignment="1">
      <alignment horizontal="right"/>
    </xf>
    <xf numFmtId="0" fontId="11" fillId="4" borderId="11" xfId="0" applyFont="1" applyFill="1" applyBorder="1"/>
    <xf numFmtId="4" fontId="11" fillId="4" borderId="2" xfId="0" applyNumberFormat="1" applyFont="1" applyFill="1" applyBorder="1" applyAlignment="1">
      <alignment horizontal="right"/>
    </xf>
    <xf numFmtId="4" fontId="10" fillId="4" borderId="12" xfId="0" applyNumberFormat="1" applyFont="1" applyFill="1" applyBorder="1" applyAlignment="1">
      <alignment horizontal="right"/>
    </xf>
    <xf numFmtId="14" fontId="17" fillId="4" borderId="1" xfId="42" applyNumberFormat="1" applyFont="1" applyFill="1" applyBorder="1" applyAlignment="1">
      <alignment horizontal="left" vertical="center"/>
    </xf>
    <xf numFmtId="14" fontId="17" fillId="4" borderId="6" xfId="42" applyNumberFormat="1" applyFont="1" applyFill="1" applyBorder="1" applyAlignment="1">
      <alignment horizontal="left" vertical="center"/>
    </xf>
    <xf numFmtId="2" fontId="17" fillId="4" borderId="18" xfId="0" applyNumberFormat="1" applyFont="1" applyFill="1" applyBorder="1" applyAlignment="1">
      <alignment horizontal="center"/>
    </xf>
    <xf numFmtId="0" fontId="17" fillId="4" borderId="6" xfId="0" applyFont="1" applyFill="1" applyBorder="1" applyAlignment="1">
      <alignment horizontal="left"/>
    </xf>
    <xf numFmtId="0" fontId="17" fillId="4" borderId="6" xfId="0" applyFont="1" applyFill="1" applyBorder="1" applyAlignment="1">
      <alignment horizontal="center"/>
    </xf>
    <xf numFmtId="0" fontId="17" fillId="4" borderId="10" xfId="43" applyFont="1" applyFill="1" applyBorder="1"/>
    <xf numFmtId="14" fontId="17" fillId="4" borderId="11" xfId="0" applyNumberFormat="1" applyFont="1" applyFill="1" applyBorder="1" applyAlignment="1">
      <alignment horizontal="center"/>
    </xf>
    <xf numFmtId="0" fontId="17" fillId="4" borderId="17" xfId="42" applyFont="1" applyFill="1" applyBorder="1" applyAlignment="1">
      <alignment vertical="center"/>
    </xf>
    <xf numFmtId="0" fontId="17" fillId="4" borderId="15" xfId="43" applyFont="1" applyFill="1" applyBorder="1"/>
    <xf numFmtId="4" fontId="17" fillId="4" borderId="2" xfId="12" applyNumberFormat="1" applyFont="1" applyFill="1" applyBorder="1" applyAlignment="1" applyProtection="1">
      <alignment vertical="center"/>
    </xf>
    <xf numFmtId="4" fontId="17" fillId="4" borderId="19" xfId="12" applyNumberFormat="1" applyFont="1" applyFill="1" applyBorder="1" applyAlignment="1" applyProtection="1">
      <alignment vertical="center"/>
    </xf>
    <xf numFmtId="3" fontId="17" fillId="4" borderId="20" xfId="12" applyNumberFormat="1" applyFont="1" applyFill="1" applyBorder="1" applyAlignment="1" applyProtection="1">
      <alignment vertical="center"/>
    </xf>
    <xf numFmtId="9" fontId="17" fillId="4" borderId="21" xfId="22" applyFont="1" applyFill="1" applyBorder="1" applyAlignment="1" applyProtection="1">
      <alignment vertical="center"/>
    </xf>
    <xf numFmtId="10" fontId="17" fillId="4" borderId="16" xfId="22" applyNumberFormat="1" applyFont="1" applyFill="1" applyBorder="1" applyAlignment="1" applyProtection="1">
      <alignment horizontal="center" vertical="center"/>
    </xf>
    <xf numFmtId="14" fontId="17" fillId="4" borderId="17" xfId="42" applyNumberFormat="1" applyFont="1" applyFill="1" applyBorder="1" applyAlignment="1">
      <alignment horizontal="center" vertical="center"/>
    </xf>
    <xf numFmtId="2" fontId="17" fillId="4" borderId="1" xfId="0" applyNumberFormat="1" applyFont="1" applyFill="1" applyBorder="1" applyAlignment="1">
      <alignment horizontal="center" vertical="center" wrapText="1"/>
    </xf>
    <xf numFmtId="0" fontId="17" fillId="4" borderId="1" xfId="42" applyFont="1" applyFill="1" applyBorder="1" applyAlignment="1">
      <alignment vertical="center"/>
    </xf>
    <xf numFmtId="14" fontId="17" fillId="4" borderId="3" xfId="0" applyNumberFormat="1" applyFont="1" applyFill="1" applyBorder="1" applyAlignment="1">
      <alignment horizontal="center"/>
    </xf>
    <xf numFmtId="14" fontId="17" fillId="4" borderId="3" xfId="0" quotePrefix="1" applyNumberFormat="1" applyFont="1" applyFill="1" applyBorder="1" applyAlignment="1">
      <alignment horizontal="center"/>
    </xf>
    <xf numFmtId="0" fontId="17" fillId="4" borderId="11" xfId="43" applyFont="1" applyFill="1" applyBorder="1"/>
    <xf numFmtId="3" fontId="17" fillId="4" borderId="16" xfId="12" applyNumberFormat="1" applyFont="1" applyFill="1" applyBorder="1" applyAlignment="1" applyProtection="1">
      <alignment horizontal="center" vertical="center"/>
    </xf>
    <xf numFmtId="170" fontId="17" fillId="4" borderId="16" xfId="12" applyNumberFormat="1" applyFont="1" applyFill="1" applyBorder="1" applyAlignment="1" applyProtection="1">
      <alignment horizontal="center" vertical="center"/>
    </xf>
    <xf numFmtId="14" fontId="17" fillId="4" borderId="10" xfId="42" applyNumberFormat="1" applyFont="1" applyFill="1" applyBorder="1" applyAlignment="1">
      <alignment horizontal="center" vertical="center"/>
    </xf>
    <xf numFmtId="9" fontId="17" fillId="4" borderId="4" xfId="22" applyFont="1" applyFill="1" applyBorder="1" applyProtection="1"/>
    <xf numFmtId="0" fontId="17" fillId="4" borderId="12" xfId="43" applyFont="1" applyFill="1" applyBorder="1"/>
    <xf numFmtId="2" fontId="17" fillId="4" borderId="17" xfId="0" applyNumberFormat="1" applyFont="1" applyFill="1" applyBorder="1" applyAlignment="1">
      <alignment horizontal="center" vertical="center" wrapText="1"/>
    </xf>
    <xf numFmtId="3" fontId="17" fillId="4" borderId="16" xfId="12" applyNumberFormat="1" applyFont="1" applyFill="1" applyBorder="1" applyAlignment="1" applyProtection="1">
      <alignment horizontal="right" vertical="center"/>
    </xf>
    <xf numFmtId="2" fontId="33" fillId="4" borderId="1" xfId="0" applyNumberFormat="1" applyFont="1" applyFill="1" applyBorder="1" applyAlignment="1">
      <alignment horizontal="left"/>
    </xf>
    <xf numFmtId="14" fontId="33" fillId="4" borderId="6" xfId="43" applyNumberFormat="1" applyFont="1" applyFill="1" applyBorder="1"/>
    <xf numFmtId="14" fontId="33" fillId="4" borderId="6" xfId="43" applyNumberFormat="1" applyFont="1" applyFill="1" applyBorder="1" applyAlignment="1">
      <alignment horizontal="left"/>
    </xf>
    <xf numFmtId="0" fontId="33" fillId="4" borderId="11" xfId="43" quotePrefix="1" applyFont="1" applyFill="1" applyBorder="1" applyAlignment="1">
      <alignment horizontal="right"/>
    </xf>
    <xf numFmtId="0" fontId="17" fillId="4" borderId="2" xfId="43" applyFont="1" applyFill="1" applyBorder="1"/>
    <xf numFmtId="14" fontId="33" fillId="4" borderId="1" xfId="43" applyNumberFormat="1" applyFont="1" applyFill="1" applyBorder="1"/>
    <xf numFmtId="172" fontId="33" fillId="4" borderId="6" xfId="43" applyNumberFormat="1" applyFont="1" applyFill="1" applyBorder="1" applyAlignment="1">
      <alignment horizontal="left"/>
    </xf>
    <xf numFmtId="0" fontId="3" fillId="4" borderId="3" xfId="0" applyFont="1" applyFill="1" applyBorder="1" applyAlignment="1">
      <alignment horizontal="center"/>
    </xf>
    <xf numFmtId="14" fontId="33" fillId="4" borderId="0" xfId="43" applyNumberFormat="1" applyFont="1" applyFill="1"/>
    <xf numFmtId="172" fontId="33" fillId="4" borderId="0" xfId="43" applyNumberFormat="1" applyFont="1" applyFill="1" applyAlignment="1">
      <alignment horizontal="left"/>
    </xf>
    <xf numFmtId="0" fontId="0" fillId="4" borderId="3" xfId="0" applyFill="1" applyBorder="1"/>
    <xf numFmtId="0" fontId="34" fillId="4" borderId="0" xfId="43" applyFont="1" applyFill="1"/>
    <xf numFmtId="0" fontId="33" fillId="4" borderId="0" xfId="43" applyFont="1" applyFill="1"/>
    <xf numFmtId="0" fontId="0" fillId="4" borderId="11" xfId="0" applyFill="1" applyBorder="1"/>
    <xf numFmtId="0" fontId="34" fillId="4" borderId="2" xfId="43" applyFont="1" applyFill="1" applyBorder="1"/>
    <xf numFmtId="0" fontId="33" fillId="4" borderId="2" xfId="43" applyFont="1" applyFill="1" applyBorder="1"/>
    <xf numFmtId="0" fontId="33" fillId="4" borderId="22" xfId="43" applyFont="1" applyFill="1" applyBorder="1"/>
    <xf numFmtId="0" fontId="33" fillId="4" borderId="23" xfId="43" applyFont="1" applyFill="1" applyBorder="1"/>
    <xf numFmtId="9" fontId="3" fillId="0" borderId="0" xfId="22" applyFont="1" applyFill="1" applyAlignment="1">
      <alignment horizontal="right"/>
    </xf>
    <xf numFmtId="0" fontId="8" fillId="0" borderId="0" xfId="46" applyFont="1"/>
    <xf numFmtId="0" fontId="3" fillId="0" borderId="0" xfId="46"/>
    <xf numFmtId="4" fontId="3" fillId="0" borderId="0" xfId="46" applyNumberFormat="1" applyAlignment="1">
      <alignment horizontal="right"/>
    </xf>
    <xf numFmtId="0" fontId="3" fillId="0" borderId="0" xfId="46" applyAlignment="1">
      <alignment horizontal="right"/>
    </xf>
    <xf numFmtId="4" fontId="3" fillId="0" borderId="0" xfId="46" applyNumberFormat="1"/>
    <xf numFmtId="10" fontId="3" fillId="0" borderId="0" xfId="0" applyNumberFormat="1" applyFont="1"/>
    <xf numFmtId="0" fontId="3" fillId="0" borderId="25" xfId="36" applyFont="1" applyBorder="1"/>
    <xf numFmtId="0" fontId="3" fillId="0" borderId="28" xfId="36" applyFont="1" applyBorder="1"/>
    <xf numFmtId="0" fontId="3" fillId="0" borderId="29" xfId="36" applyFont="1" applyBorder="1"/>
    <xf numFmtId="0" fontId="3" fillId="0" borderId="8" xfId="36" applyFont="1" applyBorder="1"/>
    <xf numFmtId="0" fontId="3" fillId="0" borderId="32" xfId="36" applyFont="1" applyBorder="1"/>
    <xf numFmtId="0" fontId="3" fillId="0" borderId="31" xfId="36" applyFont="1" applyBorder="1"/>
    <xf numFmtId="0" fontId="3" fillId="0" borderId="30" xfId="36" applyFont="1" applyBorder="1" applyAlignment="1">
      <alignment vertical="center" wrapText="1"/>
    </xf>
    <xf numFmtId="0" fontId="42" fillId="0" borderId="32" xfId="36" applyFont="1" applyBorder="1" applyAlignment="1">
      <alignment horizontal="center" vertical="center" wrapText="1"/>
    </xf>
    <xf numFmtId="0" fontId="11" fillId="0" borderId="34" xfId="47" applyFont="1" applyBorder="1" applyAlignment="1">
      <alignment wrapText="1"/>
    </xf>
    <xf numFmtId="0" fontId="11" fillId="0" borderId="24" xfId="47" applyFont="1" applyBorder="1" applyAlignment="1">
      <alignment horizontal="center" wrapText="1"/>
    </xf>
    <xf numFmtId="2" fontId="11" fillId="0" borderId="24" xfId="47" applyNumberFormat="1" applyFont="1" applyBorder="1" applyAlignment="1">
      <alignment horizontal="center" wrapText="1"/>
    </xf>
    <xf numFmtId="2" fontId="3" fillId="0" borderId="26" xfId="36" applyNumberFormat="1" applyFont="1" applyBorder="1" applyAlignment="1">
      <alignment horizontal="right"/>
    </xf>
    <xf numFmtId="10" fontId="3" fillId="0" borderId="29" xfId="36" applyNumberFormat="1" applyFont="1" applyBorder="1"/>
    <xf numFmtId="4" fontId="3" fillId="0" borderId="9" xfId="36" applyNumberFormat="1" applyFont="1" applyBorder="1"/>
    <xf numFmtId="0" fontId="8" fillId="0" borderId="0" xfId="36" applyFont="1"/>
    <xf numFmtId="0" fontId="7" fillId="0" borderId="0" xfId="36" applyFont="1" applyAlignment="1">
      <alignment horizontal="center"/>
    </xf>
    <xf numFmtId="0" fontId="3" fillId="0" borderId="0" xfId="36" applyFont="1" applyAlignment="1">
      <alignment horizontal="center" vertical="center"/>
    </xf>
    <xf numFmtId="10" fontId="3" fillId="0" borderId="0" xfId="48" applyNumberFormat="1" applyFont="1"/>
    <xf numFmtId="170" fontId="3" fillId="0" borderId="0" xfId="36" applyNumberFormat="1" applyFont="1"/>
    <xf numFmtId="0" fontId="5" fillId="6" borderId="0" xfId="36" applyFont="1" applyFill="1"/>
    <xf numFmtId="4" fontId="5" fillId="6" borderId="0" xfId="36" applyNumberFormat="1" applyFont="1" applyFill="1"/>
    <xf numFmtId="10" fontId="11" fillId="0" borderId="0" xfId="0" applyNumberFormat="1" applyFont="1"/>
    <xf numFmtId="167" fontId="3" fillId="0" borderId="0" xfId="0" applyNumberFormat="1" applyFont="1"/>
    <xf numFmtId="0" fontId="3" fillId="0" borderId="0" xfId="0" applyFont="1" applyAlignment="1">
      <alignment vertical="center"/>
    </xf>
    <xf numFmtId="2" fontId="3" fillId="0" borderId="0" xfId="0" applyNumberFormat="1" applyFont="1"/>
    <xf numFmtId="0" fontId="3" fillId="0" borderId="0" xfId="0" quotePrefix="1" applyFont="1" applyAlignment="1">
      <alignment horizontal="left" indent="2"/>
    </xf>
    <xf numFmtId="165" fontId="3" fillId="0" borderId="0" xfId="18" applyFont="1" applyFill="1"/>
    <xf numFmtId="0" fontId="3" fillId="0" borderId="16" xfId="0" applyFont="1" applyBorder="1"/>
    <xf numFmtId="0" fontId="3" fillId="0" borderId="16" xfId="0" applyFont="1" applyBorder="1" applyAlignment="1">
      <alignment horizontal="left"/>
    </xf>
    <xf numFmtId="165" fontId="3" fillId="0" borderId="16" xfId="18" applyFont="1" applyFill="1" applyBorder="1"/>
    <xf numFmtId="167" fontId="3" fillId="0" borderId="16" xfId="0" applyNumberFormat="1" applyFont="1" applyBorder="1"/>
    <xf numFmtId="168" fontId="3" fillId="0" borderId="16" xfId="18" applyNumberFormat="1" applyFont="1" applyFill="1" applyBorder="1" applyAlignment="1">
      <alignment horizontal="center"/>
    </xf>
    <xf numFmtId="0" fontId="3" fillId="0" borderId="16" xfId="0" applyFont="1" applyBorder="1" applyAlignment="1">
      <alignment horizontal="center"/>
    </xf>
    <xf numFmtId="165" fontId="3" fillId="0" borderId="0" xfId="18" applyFont="1" applyFill="1" applyBorder="1"/>
    <xf numFmtId="168" fontId="3" fillId="0" borderId="16" xfId="18" applyNumberFormat="1" applyFont="1" applyBorder="1" applyAlignment="1">
      <alignment horizontal="center"/>
    </xf>
    <xf numFmtId="165" fontId="3" fillId="0" borderId="16" xfId="18" applyFont="1" applyBorder="1"/>
    <xf numFmtId="0" fontId="3" fillId="0" borderId="15" xfId="0" applyFont="1" applyBorder="1" applyAlignment="1">
      <alignment horizontal="center"/>
    </xf>
    <xf numFmtId="165" fontId="3" fillId="0" borderId="15" xfId="18" applyFont="1" applyFill="1" applyBorder="1"/>
    <xf numFmtId="168" fontId="3" fillId="0" borderId="1" xfId="18" applyNumberFormat="1" applyFont="1" applyBorder="1" applyAlignment="1">
      <alignment horizontal="center"/>
    </xf>
    <xf numFmtId="0" fontId="3" fillId="0" borderId="6" xfId="0" applyFont="1" applyBorder="1" applyAlignment="1">
      <alignment horizontal="center"/>
    </xf>
    <xf numFmtId="165" fontId="3" fillId="0" borderId="6" xfId="18" applyFont="1" applyBorder="1"/>
    <xf numFmtId="165" fontId="3" fillId="0" borderId="6" xfId="18" applyFont="1" applyFill="1" applyBorder="1"/>
    <xf numFmtId="165" fontId="3" fillId="0" borderId="10" xfId="18" applyFont="1" applyFill="1" applyBorder="1"/>
    <xf numFmtId="165" fontId="3" fillId="0" borderId="17" xfId="18" applyFont="1" applyFill="1" applyBorder="1"/>
    <xf numFmtId="168" fontId="3" fillId="0" borderId="3" xfId="18" applyNumberFormat="1" applyFont="1" applyBorder="1" applyAlignment="1">
      <alignment horizontal="left"/>
    </xf>
    <xf numFmtId="165" fontId="3" fillId="0" borderId="0" xfId="18" applyFont="1" applyBorder="1"/>
    <xf numFmtId="165" fontId="3" fillId="0" borderId="4" xfId="18" applyFont="1" applyFill="1" applyBorder="1"/>
    <xf numFmtId="168" fontId="3" fillId="0" borderId="11" xfId="18" applyNumberFormat="1" applyFont="1" applyBorder="1" applyAlignment="1">
      <alignment horizontal="center"/>
    </xf>
    <xf numFmtId="0" fontId="3" fillId="0" borderId="2" xfId="0" applyFont="1" applyBorder="1" applyAlignment="1">
      <alignment horizontal="center"/>
    </xf>
    <xf numFmtId="165" fontId="3" fillId="0" borderId="2" xfId="18" applyFont="1" applyBorder="1"/>
    <xf numFmtId="165" fontId="3" fillId="0" borderId="2" xfId="18" applyFont="1" applyFill="1" applyBorder="1"/>
    <xf numFmtId="165" fontId="3" fillId="0" borderId="12" xfId="18" applyFont="1" applyFill="1" applyBorder="1"/>
    <xf numFmtId="168" fontId="3" fillId="0" borderId="0" xfId="18" applyNumberFormat="1" applyFont="1"/>
    <xf numFmtId="165" fontId="3" fillId="0" borderId="0" xfId="18" applyFont="1"/>
    <xf numFmtId="168" fontId="3" fillId="0" borderId="0" xfId="18" applyNumberFormat="1" applyFont="1" applyFill="1"/>
    <xf numFmtId="10" fontId="3" fillId="0" borderId="2" xfId="28" applyNumberFormat="1" applyFont="1" applyBorder="1"/>
    <xf numFmtId="0" fontId="3" fillId="0" borderId="0" xfId="0" applyFont="1" applyAlignment="1">
      <alignment horizontal="left" indent="1"/>
    </xf>
    <xf numFmtId="165" fontId="3" fillId="0" borderId="0" xfId="0" applyNumberFormat="1" applyFont="1"/>
    <xf numFmtId="10" fontId="3" fillId="0" borderId="0" xfId="28" applyNumberFormat="1" applyFont="1" applyFill="1"/>
    <xf numFmtId="10" fontId="3" fillId="0" borderId="0" xfId="28" applyNumberFormat="1" applyFont="1" applyFill="1" applyAlignment="1">
      <alignment horizontal="center"/>
    </xf>
    <xf numFmtId="43" fontId="3" fillId="0" borderId="0" xfId="0" applyNumberFormat="1" applyFont="1"/>
    <xf numFmtId="10" fontId="3" fillId="0" borderId="0" xfId="28" applyNumberFormat="1" applyFont="1" applyAlignment="1">
      <alignment horizontal="center"/>
    </xf>
    <xf numFmtId="165" fontId="3" fillId="0" borderId="0" xfId="18" applyFont="1" applyAlignment="1">
      <alignment horizontal="center"/>
    </xf>
    <xf numFmtId="10" fontId="3" fillId="0" borderId="0" xfId="28" applyNumberFormat="1" applyFont="1"/>
    <xf numFmtId="3" fontId="3" fillId="7" borderId="3" xfId="0" applyNumberFormat="1" applyFont="1" applyFill="1" applyBorder="1" applyAlignment="1">
      <alignment horizontal="right"/>
    </xf>
    <xf numFmtId="0" fontId="3" fillId="0" borderId="4" xfId="0" applyFont="1" applyBorder="1"/>
    <xf numFmtId="9" fontId="3" fillId="0" borderId="4" xfId="22" applyFont="1" applyFill="1" applyBorder="1" applyAlignment="1">
      <alignment horizontal="right"/>
    </xf>
    <xf numFmtId="4" fontId="3" fillId="0" borderId="3" xfId="0" applyNumberFormat="1" applyFont="1" applyBorder="1" applyAlignment="1">
      <alignment horizontal="right"/>
    </xf>
    <xf numFmtId="166" fontId="3" fillId="0" borderId="4" xfId="22" applyNumberFormat="1" applyFont="1" applyFill="1" applyBorder="1" applyAlignment="1">
      <alignment horizontal="right"/>
    </xf>
    <xf numFmtId="166" fontId="3" fillId="0" borderId="0" xfId="22" applyNumberFormat="1" applyFont="1" applyFill="1" applyBorder="1" applyAlignment="1">
      <alignment horizontal="right"/>
    </xf>
    <xf numFmtId="9" fontId="3" fillId="0" borderId="0" xfId="22" applyFont="1" applyFill="1" applyBorder="1" applyAlignment="1">
      <alignment horizontal="right"/>
    </xf>
    <xf numFmtId="14" fontId="8" fillId="0" borderId="0" xfId="0" applyNumberFormat="1" applyFont="1" applyAlignment="1">
      <alignment horizontal="center"/>
    </xf>
    <xf numFmtId="0" fontId="11" fillId="0" borderId="0" xfId="0" applyFont="1" applyAlignment="1">
      <alignment horizontal="center"/>
    </xf>
    <xf numFmtId="0" fontId="3" fillId="0" borderId="3" xfId="0" applyFont="1" applyBorder="1"/>
    <xf numFmtId="4" fontId="3" fillId="0" borderId="4" xfId="0" applyNumberFormat="1" applyFont="1" applyBorder="1" applyAlignment="1">
      <alignment horizontal="right"/>
    </xf>
    <xf numFmtId="166" fontId="3" fillId="0" borderId="4" xfId="0" applyNumberFormat="1" applyFont="1" applyBorder="1" applyAlignment="1">
      <alignment horizontal="right"/>
    </xf>
    <xf numFmtId="0" fontId="5" fillId="0" borderId="4" xfId="0" applyFont="1" applyBorder="1"/>
    <xf numFmtId="4" fontId="5" fillId="0" borderId="3" xfId="0" applyNumberFormat="1" applyFont="1" applyBorder="1" applyAlignment="1">
      <alignment horizontal="right"/>
    </xf>
    <xf numFmtId="4" fontId="5" fillId="0" borderId="4" xfId="0" applyNumberFormat="1" applyFont="1" applyBorder="1" applyAlignment="1">
      <alignment horizontal="right"/>
    </xf>
    <xf numFmtId="4" fontId="3" fillId="0" borderId="2" xfId="0" applyNumberFormat="1" applyFont="1" applyBorder="1" applyAlignment="1">
      <alignment horizontal="right"/>
    </xf>
    <xf numFmtId="4" fontId="3" fillId="0" borderId="11" xfId="0" applyNumberFormat="1" applyFont="1" applyBorder="1" applyAlignment="1">
      <alignment horizontal="right"/>
    </xf>
    <xf numFmtId="9" fontId="3" fillId="0" borderId="0" xfId="22" quotePrefix="1" applyFont="1" applyFill="1" applyBorder="1" applyAlignment="1">
      <alignment horizontal="right"/>
    </xf>
    <xf numFmtId="9" fontId="3" fillId="0" borderId="3" xfId="22" applyFont="1" applyFill="1" applyBorder="1" applyAlignment="1">
      <alignment horizontal="right"/>
    </xf>
    <xf numFmtId="4" fontId="5" fillId="0" borderId="0" xfId="0" applyNumberFormat="1" applyFont="1" applyAlignment="1">
      <alignment horizontal="right"/>
    </xf>
    <xf numFmtId="3" fontId="3" fillId="0" borderId="3" xfId="0" applyNumberFormat="1" applyFont="1" applyBorder="1" applyAlignment="1">
      <alignment horizontal="right"/>
    </xf>
    <xf numFmtId="3" fontId="5" fillId="0" borderId="3" xfId="0" applyNumberFormat="1" applyFont="1" applyBorder="1" applyAlignment="1">
      <alignment horizontal="right"/>
    </xf>
    <xf numFmtId="9" fontId="3" fillId="0" borderId="3" xfId="22" quotePrefix="1" applyFont="1" applyFill="1" applyBorder="1" applyAlignment="1">
      <alignment horizontal="right"/>
    </xf>
    <xf numFmtId="4" fontId="0" fillId="0" borderId="23" xfId="0" applyNumberFormat="1" applyBorder="1"/>
    <xf numFmtId="0" fontId="44" fillId="8" borderId="35" xfId="49"/>
    <xf numFmtId="0" fontId="3" fillId="9" borderId="0" xfId="0" applyFont="1" applyFill="1"/>
    <xf numFmtId="14" fontId="0" fillId="0" borderId="0" xfId="0" applyNumberFormat="1"/>
    <xf numFmtId="14" fontId="5" fillId="0" borderId="0" xfId="0" applyNumberFormat="1" applyFont="1"/>
    <xf numFmtId="166" fontId="5" fillId="0" borderId="0" xfId="22" applyNumberFormat="1" applyFont="1" applyFill="1" applyBorder="1" applyAlignment="1">
      <alignment horizontal="right"/>
    </xf>
    <xf numFmtId="166" fontId="5" fillId="0" borderId="4" xfId="22" applyNumberFormat="1" applyFont="1" applyFill="1" applyBorder="1" applyAlignment="1">
      <alignment horizontal="right"/>
    </xf>
    <xf numFmtId="10" fontId="3" fillId="0" borderId="0" xfId="22" applyNumberFormat="1" applyFont="1" applyAlignment="1">
      <alignment horizontal="right"/>
    </xf>
    <xf numFmtId="14" fontId="3" fillId="0" borderId="0" xfId="0" applyNumberFormat="1" applyFont="1"/>
    <xf numFmtId="0" fontId="5" fillId="0" borderId="0" xfId="0" quotePrefix="1" applyFont="1"/>
    <xf numFmtId="4" fontId="5" fillId="0" borderId="6" xfId="0" applyNumberFormat="1" applyFont="1" applyBorder="1"/>
    <xf numFmtId="0" fontId="3" fillId="0" borderId="22" xfId="0" applyFont="1" applyBorder="1"/>
    <xf numFmtId="0" fontId="7" fillId="0" borderId="0" xfId="36" applyFont="1"/>
    <xf numFmtId="0" fontId="3" fillId="0" borderId="0" xfId="43"/>
    <xf numFmtId="0" fontId="8" fillId="0" borderId="0" xfId="43" applyFont="1"/>
    <xf numFmtId="4" fontId="3" fillId="0" borderId="0" xfId="43" applyNumberFormat="1" applyAlignment="1">
      <alignment horizontal="right"/>
    </xf>
    <xf numFmtId="3" fontId="3" fillId="0" borderId="0" xfId="43" applyNumberFormat="1" applyAlignment="1">
      <alignment horizontal="right"/>
    </xf>
    <xf numFmtId="0" fontId="3" fillId="0" borderId="0" xfId="43" applyAlignment="1">
      <alignment horizontal="right"/>
    </xf>
    <xf numFmtId="4" fontId="3" fillId="0" borderId="0" xfId="43" applyNumberFormat="1"/>
    <xf numFmtId="0" fontId="3" fillId="0" borderId="0" xfId="43" applyAlignment="1">
      <alignment horizontal="center"/>
    </xf>
    <xf numFmtId="0" fontId="8" fillId="0" borderId="0" xfId="43" applyFont="1" applyAlignment="1">
      <alignment horizontal="left"/>
    </xf>
    <xf numFmtId="1" fontId="5" fillId="0" borderId="0" xfId="43" applyNumberFormat="1" applyFont="1" applyAlignment="1">
      <alignment horizontal="right"/>
    </xf>
    <xf numFmtId="0" fontId="7" fillId="0" borderId="0" xfId="43" applyFont="1"/>
    <xf numFmtId="0" fontId="7" fillId="0" borderId="0" xfId="43" applyFont="1" applyAlignment="1">
      <alignment horizontal="center"/>
    </xf>
    <xf numFmtId="4" fontId="7" fillId="0" borderId="0" xfId="43" applyNumberFormat="1" applyFont="1" applyAlignment="1">
      <alignment horizontal="right"/>
    </xf>
    <xf numFmtId="3" fontId="7" fillId="0" borderId="0" xfId="43" applyNumberFormat="1" applyFont="1" applyAlignment="1">
      <alignment horizontal="right"/>
    </xf>
    <xf numFmtId="0" fontId="22" fillId="0" borderId="0" xfId="43" applyFont="1" applyAlignment="1">
      <alignment horizontal="left"/>
    </xf>
    <xf numFmtId="0" fontId="11" fillId="0" borderId="0" xfId="43" applyFont="1"/>
    <xf numFmtId="4" fontId="3" fillId="7" borderId="0" xfId="43" applyNumberFormat="1" applyFill="1" applyAlignment="1">
      <alignment horizontal="right"/>
    </xf>
    <xf numFmtId="165" fontId="5" fillId="0" borderId="0" xfId="51" applyFont="1" applyAlignment="1"/>
    <xf numFmtId="0" fontId="11" fillId="0" borderId="0" xfId="43" applyFont="1" applyAlignment="1">
      <alignment horizontal="left"/>
    </xf>
    <xf numFmtId="0" fontId="5" fillId="0" borderId="0" xfId="43" applyFont="1"/>
    <xf numFmtId="4" fontId="5" fillId="0" borderId="0" xfId="43" applyNumberFormat="1" applyFont="1"/>
    <xf numFmtId="0" fontId="3" fillId="0" borderId="0" xfId="43" applyAlignment="1">
      <alignment horizontal="left"/>
    </xf>
    <xf numFmtId="0" fontId="5" fillId="0" borderId="0" xfId="43" applyFont="1" applyAlignment="1">
      <alignment horizontal="left"/>
    </xf>
    <xf numFmtId="165" fontId="3" fillId="0" borderId="0" xfId="51" applyFont="1"/>
    <xf numFmtId="165" fontId="3" fillId="0" borderId="0" xfId="51" applyFont="1" applyAlignment="1">
      <alignment horizontal="right"/>
    </xf>
    <xf numFmtId="165" fontId="5" fillId="5" borderId="8" xfId="51" applyFont="1" applyFill="1" applyBorder="1" applyAlignment="1">
      <alignment horizontal="right"/>
    </xf>
    <xf numFmtId="0" fontId="7" fillId="0" borderId="0" xfId="43" applyFont="1" applyAlignment="1">
      <alignment horizontal="right"/>
    </xf>
    <xf numFmtId="1" fontId="3" fillId="0" borderId="0" xfId="43" applyNumberFormat="1" applyAlignment="1">
      <alignment horizontal="right"/>
    </xf>
    <xf numFmtId="0" fontId="3" fillId="7" borderId="0" xfId="43" applyFill="1" applyAlignment="1">
      <alignment horizontal="center"/>
    </xf>
    <xf numFmtId="0" fontId="3" fillId="7" borderId="0" xfId="43" applyFill="1"/>
    <xf numFmtId="4" fontId="3" fillId="7" borderId="0" xfId="51" applyNumberFormat="1" applyFont="1" applyFill="1" applyBorder="1"/>
    <xf numFmtId="168" fontId="3" fillId="0" borderId="0" xfId="51" applyNumberFormat="1" applyFont="1" applyAlignment="1">
      <alignment horizontal="right"/>
    </xf>
    <xf numFmtId="165" fontId="5" fillId="0" borderId="0" xfId="51" applyFont="1" applyAlignment="1">
      <alignment horizontal="right"/>
    </xf>
    <xf numFmtId="165" fontId="3" fillId="0" borderId="0" xfId="51" applyFont="1" applyFill="1"/>
    <xf numFmtId="165" fontId="3" fillId="7" borderId="0" xfId="51" applyFont="1" applyFill="1"/>
    <xf numFmtId="4" fontId="3" fillId="7" borderId="0" xfId="51" applyNumberFormat="1" applyFont="1" applyFill="1"/>
    <xf numFmtId="168" fontId="3" fillId="7" borderId="0" xfId="51" applyNumberFormat="1" applyFont="1" applyFill="1"/>
    <xf numFmtId="165" fontId="3" fillId="0" borderId="2" xfId="51" applyFont="1" applyFill="1" applyBorder="1"/>
    <xf numFmtId="165" fontId="11" fillId="0" borderId="0" xfId="43" applyNumberFormat="1" applyFont="1" applyAlignment="1">
      <alignment horizontal="left"/>
    </xf>
    <xf numFmtId="165" fontId="3" fillId="0" borderId="0" xfId="51" applyFont="1" applyBorder="1" applyAlignment="1">
      <alignment horizontal="right"/>
    </xf>
    <xf numFmtId="0" fontId="10" fillId="0" borderId="0" xfId="43" applyFont="1" applyAlignment="1">
      <alignment horizontal="left"/>
    </xf>
    <xf numFmtId="173" fontId="47" fillId="0" borderId="0" xfId="43" applyNumberFormat="1" applyFont="1" applyAlignment="1">
      <alignment horizontal="center"/>
    </xf>
    <xf numFmtId="49" fontId="47" fillId="0" borderId="0" xfId="43" applyNumberFormat="1" applyFont="1" applyAlignment="1">
      <alignment horizontal="center"/>
    </xf>
    <xf numFmtId="4" fontId="47" fillId="0" borderId="0" xfId="43" applyNumberFormat="1" applyFont="1" applyAlignment="1">
      <alignment horizontal="left"/>
    </xf>
    <xf numFmtId="4" fontId="47" fillId="0" borderId="0" xfId="43" applyNumberFormat="1" applyFont="1" applyAlignment="1">
      <alignment horizontal="center"/>
    </xf>
    <xf numFmtId="9" fontId="47" fillId="0" borderId="0" xfId="43" applyNumberFormat="1" applyFont="1" applyAlignment="1">
      <alignment horizontal="center"/>
    </xf>
    <xf numFmtId="4" fontId="47" fillId="0" borderId="0" xfId="43" applyNumberFormat="1" applyFont="1" applyAlignment="1">
      <alignment horizontal="right"/>
    </xf>
    <xf numFmtId="4" fontId="47" fillId="0" borderId="0" xfId="43" applyNumberFormat="1" applyFont="1"/>
    <xf numFmtId="4" fontId="48" fillId="0" borderId="0" xfId="43" applyNumberFormat="1" applyFont="1" applyAlignment="1">
      <alignment horizontal="right"/>
    </xf>
    <xf numFmtId="174" fontId="47" fillId="0" borderId="0" xfId="43" applyNumberFormat="1" applyFont="1"/>
    <xf numFmtId="165" fontId="3" fillId="0" borderId="0" xfId="43" applyNumberFormat="1" applyAlignment="1">
      <alignment horizontal="left"/>
    </xf>
    <xf numFmtId="4" fontId="52" fillId="0" borderId="0" xfId="46" applyNumberFormat="1" applyFont="1" applyAlignment="1">
      <alignment horizontal="right"/>
    </xf>
    <xf numFmtId="0" fontId="43" fillId="8" borderId="35" xfId="52"/>
    <xf numFmtId="4" fontId="3" fillId="9" borderId="0" xfId="43" applyNumberFormat="1" applyFill="1"/>
    <xf numFmtId="4" fontId="50" fillId="0" borderId="0" xfId="43" applyNumberFormat="1" applyFont="1"/>
    <xf numFmtId="4" fontId="11" fillId="0" borderId="0" xfId="43" applyNumberFormat="1" applyFont="1"/>
    <xf numFmtId="4" fontId="53" fillId="0" borderId="0" xfId="43" applyNumberFormat="1" applyFont="1"/>
    <xf numFmtId="0" fontId="16" fillId="0" borderId="0" xfId="53"/>
    <xf numFmtId="166" fontId="3" fillId="0" borderId="3" xfId="22" applyNumberFormat="1" applyFont="1" applyFill="1" applyBorder="1" applyAlignment="1">
      <alignment horizontal="right"/>
    </xf>
    <xf numFmtId="0" fontId="54" fillId="10" borderId="0" xfId="53" applyFont="1" applyFill="1"/>
    <xf numFmtId="4" fontId="54" fillId="10" borderId="0" xfId="53" applyNumberFormat="1" applyFont="1" applyFill="1"/>
    <xf numFmtId="0" fontId="16" fillId="10" borderId="0" xfId="53" applyFill="1"/>
    <xf numFmtId="0" fontId="0" fillId="10" borderId="0" xfId="0" applyFill="1"/>
    <xf numFmtId="0" fontId="54" fillId="11" borderId="0" xfId="53" applyFont="1" applyFill="1"/>
    <xf numFmtId="0" fontId="44" fillId="11" borderId="35" xfId="49" applyFill="1"/>
    <xf numFmtId="0" fontId="16" fillId="11" borderId="0" xfId="53" applyFill="1"/>
    <xf numFmtId="4" fontId="54" fillId="11" borderId="0" xfId="53" applyNumberFormat="1" applyFont="1" applyFill="1"/>
    <xf numFmtId="0" fontId="8" fillId="0" borderId="0" xfId="58" applyFont="1"/>
    <xf numFmtId="0" fontId="3" fillId="0" borderId="0" xfId="58"/>
    <xf numFmtId="0" fontId="5" fillId="0" borderId="0" xfId="58" applyFont="1"/>
    <xf numFmtId="0" fontId="22" fillId="0" borderId="0" xfId="58" applyFont="1"/>
    <xf numFmtId="0" fontId="3" fillId="0" borderId="0" xfId="58" quotePrefix="1"/>
    <xf numFmtId="0" fontId="25" fillId="0" borderId="0" xfId="11" applyAlignment="1" applyProtection="1"/>
    <xf numFmtId="0" fontId="11" fillId="0" borderId="0" xfId="58" applyFont="1"/>
    <xf numFmtId="0" fontId="5" fillId="0" borderId="0" xfId="58" applyFont="1" applyAlignment="1">
      <alignment horizontal="center"/>
    </xf>
    <xf numFmtId="0" fontId="3" fillId="0" borderId="0" xfId="58" applyAlignment="1">
      <alignment horizontal="center"/>
    </xf>
    <xf numFmtId="9" fontId="3" fillId="0" borderId="0" xfId="59" applyFont="1" applyAlignment="1">
      <alignment horizontal="center"/>
    </xf>
    <xf numFmtId="9" fontId="3" fillId="0" borderId="0" xfId="59" applyFont="1"/>
    <xf numFmtId="10" fontId="3" fillId="0" borderId="0" xfId="59" applyNumberFormat="1" applyFont="1" applyAlignment="1">
      <alignment horizontal="center"/>
    </xf>
    <xf numFmtId="10" fontId="3" fillId="0" borderId="0" xfId="59" applyNumberFormat="1" applyFont="1" applyFill="1" applyBorder="1" applyAlignment="1">
      <alignment horizontal="center"/>
    </xf>
    <xf numFmtId="0" fontId="57" fillId="0" borderId="0" xfId="58" applyFont="1" applyAlignment="1">
      <alignment horizontal="center"/>
    </xf>
    <xf numFmtId="10" fontId="3" fillId="0" borderId="0" xfId="58" applyNumberFormat="1" applyAlignment="1">
      <alignment horizontal="center"/>
    </xf>
    <xf numFmtId="10" fontId="3" fillId="6" borderId="0" xfId="59" applyNumberFormat="1" applyFont="1" applyFill="1" applyAlignment="1">
      <alignment horizontal="center"/>
    </xf>
    <xf numFmtId="10" fontId="0" fillId="0" borderId="0" xfId="59" applyNumberFormat="1" applyFont="1" applyAlignment="1">
      <alignment horizontal="center"/>
    </xf>
    <xf numFmtId="0" fontId="2" fillId="0" borderId="0" xfId="36" applyFont="1"/>
    <xf numFmtId="0" fontId="46" fillId="12" borderId="5" xfId="43" applyFont="1" applyFill="1" applyBorder="1" applyAlignment="1">
      <alignment horizontal="center"/>
    </xf>
    <xf numFmtId="10" fontId="46" fillId="12" borderId="5" xfId="43" applyNumberFormat="1" applyFont="1" applyFill="1" applyBorder="1" applyAlignment="1">
      <alignment horizontal="center"/>
    </xf>
    <xf numFmtId="10" fontId="45" fillId="13" borderId="5" xfId="43" applyNumberFormat="1" applyFont="1" applyFill="1" applyBorder="1" applyAlignment="1">
      <alignment horizontal="center"/>
    </xf>
    <xf numFmtId="0" fontId="46" fillId="12" borderId="34" xfId="43" applyFont="1" applyFill="1" applyBorder="1"/>
    <xf numFmtId="10" fontId="46" fillId="0" borderId="29" xfId="43" applyNumberFormat="1" applyFont="1" applyBorder="1" applyAlignment="1">
      <alignment horizontal="center"/>
    </xf>
    <xf numFmtId="0" fontId="41" fillId="0" borderId="0" xfId="36" applyFont="1"/>
    <xf numFmtId="10" fontId="41" fillId="0" borderId="0" xfId="22" applyNumberFormat="1" applyFont="1" applyBorder="1"/>
    <xf numFmtId="0" fontId="39" fillId="4" borderId="25" xfId="36" applyFont="1" applyFill="1" applyBorder="1"/>
    <xf numFmtId="0" fontId="3" fillId="4" borderId="27" xfId="36" applyFont="1" applyFill="1" applyBorder="1"/>
    <xf numFmtId="0" fontId="2" fillId="4" borderId="27" xfId="36" applyFont="1" applyFill="1" applyBorder="1"/>
    <xf numFmtId="0" fontId="3" fillId="4" borderId="26" xfId="36" applyFont="1" applyFill="1" applyBorder="1"/>
    <xf numFmtId="0" fontId="3" fillId="4" borderId="28" xfId="36" applyFont="1" applyFill="1" applyBorder="1"/>
    <xf numFmtId="0" fontId="3" fillId="4" borderId="0" xfId="36" applyFont="1" applyFill="1"/>
    <xf numFmtId="0" fontId="2" fillId="4" borderId="0" xfId="36" applyFont="1" applyFill="1"/>
    <xf numFmtId="0" fontId="3" fillId="4" borderId="29" xfId="36" applyFont="1" applyFill="1" applyBorder="1"/>
    <xf numFmtId="0" fontId="39" fillId="4" borderId="28" xfId="36" applyFont="1" applyFill="1" applyBorder="1"/>
    <xf numFmtId="0" fontId="3" fillId="4" borderId="25" xfId="36" applyFont="1" applyFill="1" applyBorder="1"/>
    <xf numFmtId="10" fontId="3" fillId="4" borderId="26" xfId="36" applyNumberFormat="1" applyFont="1" applyFill="1" applyBorder="1"/>
    <xf numFmtId="10" fontId="3" fillId="4" borderId="29" xfId="22" applyNumberFormat="1" applyFont="1" applyFill="1" applyBorder="1"/>
    <xf numFmtId="0" fontId="3" fillId="4" borderId="0" xfId="36" applyFont="1" applyFill="1" applyAlignment="1">
      <alignment wrapText="1"/>
    </xf>
    <xf numFmtId="0" fontId="3" fillId="4" borderId="8" xfId="36" applyFont="1" applyFill="1" applyBorder="1"/>
    <xf numFmtId="10" fontId="3" fillId="4" borderId="9" xfId="36" applyNumberFormat="1" applyFont="1" applyFill="1" applyBorder="1"/>
    <xf numFmtId="2" fontId="3" fillId="4" borderId="29" xfId="36" applyNumberFormat="1" applyFont="1" applyFill="1" applyBorder="1"/>
    <xf numFmtId="10" fontId="3" fillId="4" borderId="9" xfId="22" applyNumberFormat="1" applyFont="1" applyFill="1" applyBorder="1"/>
    <xf numFmtId="0" fontId="3" fillId="4" borderId="30" xfId="36" applyFont="1" applyFill="1" applyBorder="1"/>
    <xf numFmtId="9" fontId="3" fillId="4" borderId="31" xfId="36" applyNumberFormat="1" applyFont="1" applyFill="1" applyBorder="1"/>
    <xf numFmtId="0" fontId="41" fillId="4" borderId="8" xfId="36" applyFont="1" applyFill="1" applyBorder="1"/>
    <xf numFmtId="10" fontId="41" fillId="4" borderId="9" xfId="22" applyNumberFormat="1" applyFont="1" applyFill="1" applyBorder="1"/>
    <xf numFmtId="10" fontId="3" fillId="4" borderId="9" xfId="22" applyNumberFormat="1" applyFont="1" applyFill="1" applyBorder="1" applyAlignment="1">
      <alignment wrapText="1"/>
    </xf>
    <xf numFmtId="10" fontId="3" fillId="4" borderId="31" xfId="36" applyNumberFormat="1" applyFont="1" applyFill="1" applyBorder="1"/>
    <xf numFmtId="0" fontId="3" fillId="4" borderId="32" xfId="36" applyFont="1" applyFill="1" applyBorder="1" applyAlignment="1">
      <alignment wrapText="1"/>
    </xf>
    <xf numFmtId="0" fontId="3" fillId="4" borderId="32" xfId="36" applyFont="1" applyFill="1" applyBorder="1"/>
    <xf numFmtId="0" fontId="3" fillId="4" borderId="31" xfId="36" applyFont="1" applyFill="1" applyBorder="1"/>
    <xf numFmtId="0" fontId="3" fillId="4" borderId="28" xfId="36" applyFont="1" applyFill="1" applyBorder="1" applyAlignment="1">
      <alignment wrapText="1"/>
    </xf>
    <xf numFmtId="0" fontId="3" fillId="4" borderId="8" xfId="36" applyFont="1" applyFill="1" applyBorder="1" applyAlignment="1">
      <alignment wrapText="1"/>
    </xf>
    <xf numFmtId="0" fontId="3" fillId="4" borderId="33" xfId="36" applyFont="1" applyFill="1" applyBorder="1" applyAlignment="1">
      <alignment wrapText="1"/>
    </xf>
    <xf numFmtId="0" fontId="3" fillId="4" borderId="25" xfId="36" applyFont="1" applyFill="1" applyBorder="1" applyAlignment="1">
      <alignment vertical="center" wrapText="1"/>
    </xf>
    <xf numFmtId="0" fontId="42" fillId="4" borderId="27" xfId="36" applyFont="1" applyFill="1" applyBorder="1" applyAlignment="1">
      <alignment horizontal="center" vertical="center" wrapText="1"/>
    </xf>
    <xf numFmtId="0" fontId="3" fillId="4" borderId="28" xfId="36" applyFont="1" applyFill="1" applyBorder="1" applyAlignment="1">
      <alignment vertical="center" wrapText="1"/>
    </xf>
    <xf numFmtId="0" fontId="42" fillId="4" borderId="0" xfId="36" applyFont="1" applyFill="1" applyAlignment="1">
      <alignment horizontal="center" vertical="center" wrapText="1"/>
    </xf>
    <xf numFmtId="0" fontId="2" fillId="4" borderId="0" xfId="36" applyFont="1" applyFill="1" applyAlignment="1">
      <alignment horizontal="center" vertical="center" wrapText="1"/>
    </xf>
    <xf numFmtId="0" fontId="3" fillId="4" borderId="30" xfId="36" applyFont="1" applyFill="1" applyBorder="1" applyAlignment="1">
      <alignment vertical="center" wrapText="1"/>
    </xf>
    <xf numFmtId="0" fontId="42" fillId="4" borderId="32" xfId="36" applyFont="1" applyFill="1" applyBorder="1" applyAlignment="1">
      <alignment horizontal="center" vertical="center" wrapText="1"/>
    </xf>
    <xf numFmtId="0" fontId="7" fillId="0" borderId="0" xfId="46" applyFont="1" applyAlignment="1">
      <alignment horizontal="center"/>
    </xf>
    <xf numFmtId="0" fontId="3" fillId="0" borderId="0" xfId="46" applyAlignment="1">
      <alignment horizontal="center"/>
    </xf>
    <xf numFmtId="0" fontId="50" fillId="0" borderId="0" xfId="0" applyFont="1"/>
    <xf numFmtId="4" fontId="3" fillId="0" borderId="2" xfId="51" applyNumberFormat="1" applyFont="1" applyFill="1" applyBorder="1"/>
    <xf numFmtId="4" fontId="3" fillId="0" borderId="2" xfId="43" applyNumberFormat="1" applyBorder="1" applyAlignment="1">
      <alignment horizontal="right"/>
    </xf>
    <xf numFmtId="168" fontId="3" fillId="0" borderId="2" xfId="51" applyNumberFormat="1" applyFont="1" applyFill="1" applyBorder="1"/>
    <xf numFmtId="0" fontId="5" fillId="14" borderId="22" xfId="43" applyFont="1" applyFill="1" applyBorder="1" applyAlignment="1">
      <alignment horizontal="left"/>
    </xf>
    <xf numFmtId="0" fontId="5" fillId="14" borderId="23" xfId="43" applyFont="1" applyFill="1" applyBorder="1" applyAlignment="1">
      <alignment horizontal="left"/>
    </xf>
    <xf numFmtId="165" fontId="5" fillId="14" borderId="23" xfId="51" applyFont="1" applyFill="1" applyBorder="1"/>
    <xf numFmtId="165" fontId="5" fillId="0" borderId="0" xfId="51" applyFont="1" applyFill="1" applyAlignment="1"/>
    <xf numFmtId="0" fontId="7" fillId="0" borderId="0" xfId="0" applyFont="1"/>
    <xf numFmtId="166" fontId="3" fillId="0" borderId="4" xfId="0" quotePrefix="1" applyNumberFormat="1" applyFont="1" applyBorder="1" applyAlignment="1">
      <alignment horizontal="right"/>
    </xf>
    <xf numFmtId="166" fontId="5" fillId="0" borderId="4" xfId="0" applyNumberFormat="1" applyFont="1" applyBorder="1" applyAlignment="1">
      <alignment horizontal="right"/>
    </xf>
    <xf numFmtId="4" fontId="3" fillId="9" borderId="0" xfId="0" applyNumberFormat="1" applyFont="1" applyFill="1"/>
    <xf numFmtId="4" fontId="5" fillId="9" borderId="0" xfId="0" applyNumberFormat="1" applyFont="1" applyFill="1"/>
    <xf numFmtId="0" fontId="3" fillId="9" borderId="0" xfId="0" quotePrefix="1" applyFont="1" applyFill="1"/>
    <xf numFmtId="0" fontId="3" fillId="0" borderId="0" xfId="43" quotePrefix="1" applyAlignment="1">
      <alignment horizontal="left"/>
    </xf>
    <xf numFmtId="165" fontId="11" fillId="0" borderId="2" xfId="43" applyNumberFormat="1" applyFont="1" applyBorder="1" applyAlignment="1">
      <alignment horizontal="left"/>
    </xf>
    <xf numFmtId="0" fontId="0" fillId="7" borderId="0" xfId="0" applyFill="1" applyAlignment="1">
      <alignment horizontal="left"/>
    </xf>
    <xf numFmtId="0" fontId="3" fillId="7" borderId="0" xfId="0" applyFont="1" applyFill="1" applyAlignment="1">
      <alignment horizontal="left"/>
    </xf>
    <xf numFmtId="175" fontId="3" fillId="0" borderId="0" xfId="50" applyNumberFormat="1" applyFont="1"/>
    <xf numFmtId="0" fontId="3" fillId="4" borderId="0" xfId="0" applyFont="1" applyFill="1" applyAlignment="1">
      <alignment horizontal="right"/>
    </xf>
    <xf numFmtId="0" fontId="7" fillId="4" borderId="0" xfId="0" applyFont="1" applyFill="1"/>
    <xf numFmtId="0" fontId="3" fillId="4" borderId="0" xfId="0" applyFont="1" applyFill="1"/>
    <xf numFmtId="4" fontId="5" fillId="0" borderId="0" xfId="0" applyNumberFormat="1" applyFont="1" applyAlignment="1">
      <alignment horizontal="center"/>
    </xf>
    <xf numFmtId="10" fontId="3" fillId="0" borderId="0" xfId="22" applyNumberFormat="1" applyFont="1" applyFill="1" applyBorder="1" applyAlignment="1">
      <alignment horizontal="center"/>
    </xf>
    <xf numFmtId="10" fontId="3" fillId="0" borderId="0" xfId="22" applyNumberFormat="1" applyFont="1" applyFill="1" applyBorder="1"/>
    <xf numFmtId="0" fontId="3" fillId="0" borderId="0" xfId="0" quotePrefix="1" applyFont="1" applyAlignment="1">
      <alignment horizontal="right"/>
    </xf>
    <xf numFmtId="0" fontId="3" fillId="4" borderId="0" xfId="35" quotePrefix="1" applyFont="1" applyFill="1"/>
    <xf numFmtId="3" fontId="3" fillId="4" borderId="0" xfId="35" applyNumberFormat="1" applyFont="1" applyFill="1"/>
    <xf numFmtId="4" fontId="3" fillId="4" borderId="0" xfId="35" applyNumberFormat="1" applyFont="1" applyFill="1"/>
    <xf numFmtId="0" fontId="3" fillId="4" borderId="0" xfId="0" quotePrefix="1" applyFont="1" applyFill="1"/>
    <xf numFmtId="0" fontId="50" fillId="0" borderId="0" xfId="0" quotePrefix="1" applyFont="1"/>
    <xf numFmtId="4" fontId="50" fillId="0" borderId="0" xfId="0" applyNumberFormat="1" applyFont="1"/>
    <xf numFmtId="0" fontId="52" fillId="0" borderId="0" xfId="0" applyFont="1"/>
    <xf numFmtId="4" fontId="52" fillId="0" borderId="0" xfId="0" applyNumberFormat="1" applyFont="1"/>
    <xf numFmtId="2" fontId="50" fillId="0" borderId="0" xfId="0" applyNumberFormat="1" applyFont="1"/>
    <xf numFmtId="2" fontId="52" fillId="0" borderId="0" xfId="0" applyNumberFormat="1" applyFont="1"/>
    <xf numFmtId="9" fontId="50" fillId="0" borderId="0" xfId="0" applyNumberFormat="1" applyFont="1"/>
    <xf numFmtId="4" fontId="52" fillId="0" borderId="0" xfId="0" applyNumberFormat="1" applyFont="1" applyAlignment="1">
      <alignment horizontal="center"/>
    </xf>
    <xf numFmtId="10" fontId="50" fillId="0" borderId="0" xfId="22" applyNumberFormat="1" applyFont="1" applyFill="1" applyBorder="1" applyAlignment="1">
      <alignment horizontal="center"/>
    </xf>
    <xf numFmtId="0" fontId="50" fillId="4" borderId="0" xfId="35" quotePrefix="1" applyFont="1" applyFill="1"/>
    <xf numFmtId="0" fontId="50" fillId="4" borderId="0" xfId="35" applyFont="1" applyFill="1"/>
    <xf numFmtId="9" fontId="50" fillId="4" borderId="0" xfId="35" applyNumberFormat="1" applyFont="1" applyFill="1"/>
    <xf numFmtId="3" fontId="50" fillId="4" borderId="0" xfId="35" applyNumberFormat="1" applyFont="1" applyFill="1"/>
    <xf numFmtId="0" fontId="50" fillId="4" borderId="0" xfId="0" applyFont="1" applyFill="1"/>
    <xf numFmtId="0" fontId="5" fillId="4" borderId="3" xfId="0" applyFont="1" applyFill="1" applyBorder="1"/>
    <xf numFmtId="0" fontId="3" fillId="4" borderId="3" xfId="0" applyFont="1" applyFill="1" applyBorder="1"/>
    <xf numFmtId="167" fontId="3" fillId="4" borderId="4" xfId="0" applyNumberFormat="1" applyFont="1" applyFill="1" applyBorder="1"/>
    <xf numFmtId="0" fontId="6" fillId="4" borderId="0" xfId="0" applyFont="1" applyFill="1"/>
    <xf numFmtId="4" fontId="3" fillId="4" borderId="36" xfId="0" applyNumberFormat="1" applyFont="1" applyFill="1" applyBorder="1"/>
    <xf numFmtId="4" fontId="3" fillId="4" borderId="0" xfId="0" applyNumberFormat="1" applyFont="1" applyFill="1"/>
    <xf numFmtId="4" fontId="3" fillId="4" borderId="4" xfId="0" applyNumberFormat="1" applyFont="1" applyFill="1" applyBorder="1"/>
    <xf numFmtId="0" fontId="3" fillId="4" borderId="2" xfId="0" applyFont="1" applyFill="1" applyBorder="1"/>
    <xf numFmtId="4" fontId="3" fillId="4" borderId="2" xfId="0" applyNumberFormat="1" applyFont="1" applyFill="1" applyBorder="1"/>
    <xf numFmtId="4" fontId="3" fillId="6" borderId="10" xfId="43" applyNumberFormat="1" applyFill="1" applyBorder="1" applyAlignment="1">
      <alignment horizontal="right"/>
    </xf>
    <xf numFmtId="0" fontId="3" fillId="6" borderId="3" xfId="43" applyFill="1" applyBorder="1" applyAlignment="1">
      <alignment horizontal="center"/>
    </xf>
    <xf numFmtId="9" fontId="3" fillId="6" borderId="0" xfId="22" applyFont="1" applyFill="1" applyBorder="1" applyAlignment="1">
      <alignment horizontal="right"/>
    </xf>
    <xf numFmtId="4" fontId="3" fillId="6" borderId="4" xfId="43" applyNumberFormat="1" applyFill="1" applyBorder="1" applyAlignment="1">
      <alignment horizontal="right"/>
    </xf>
    <xf numFmtId="4" fontId="3" fillId="6" borderId="2" xfId="43" applyNumberFormat="1" applyFill="1" applyBorder="1" applyAlignment="1">
      <alignment horizontal="right"/>
    </xf>
    <xf numFmtId="0" fontId="3" fillId="6" borderId="11" xfId="43" applyFill="1" applyBorder="1" applyAlignment="1">
      <alignment horizontal="left"/>
    </xf>
    <xf numFmtId="0" fontId="3" fillId="6" borderId="2" xfId="43" applyFill="1" applyBorder="1"/>
    <xf numFmtId="3" fontId="3" fillId="6" borderId="2" xfId="43" applyNumberFormat="1" applyFill="1" applyBorder="1" applyAlignment="1">
      <alignment horizontal="right"/>
    </xf>
    <xf numFmtId="4" fontId="3" fillId="6" borderId="12" xfId="43" applyNumberFormat="1" applyFill="1" applyBorder="1" applyAlignment="1">
      <alignment horizontal="right"/>
    </xf>
    <xf numFmtId="49" fontId="60" fillId="0" borderId="0" xfId="0" applyNumberFormat="1" applyFont="1" applyAlignment="1">
      <alignment vertical="center" wrapText="1" shrinkToFit="1" readingOrder="1"/>
    </xf>
    <xf numFmtId="49" fontId="60" fillId="0" borderId="0" xfId="0" applyNumberFormat="1" applyFont="1" applyAlignment="1">
      <alignment vertical="center" shrinkToFit="1" readingOrder="1"/>
    </xf>
    <xf numFmtId="0" fontId="0" fillId="0" borderId="0" xfId="0" applyAlignment="1">
      <alignment wrapText="1"/>
    </xf>
    <xf numFmtId="49" fontId="60" fillId="0" borderId="0" xfId="0" applyNumberFormat="1" applyFont="1" applyAlignment="1">
      <alignment horizontal="left" vertical="center" readingOrder="1"/>
    </xf>
    <xf numFmtId="4" fontId="60" fillId="0" borderId="0" xfId="0" applyNumberFormat="1" applyFont="1" applyAlignment="1">
      <alignment vertical="center" readingOrder="1"/>
    </xf>
    <xf numFmtId="4" fontId="60" fillId="0" borderId="0" xfId="0" applyNumberFormat="1" applyFont="1" applyAlignment="1">
      <alignment vertical="center" wrapText="1" readingOrder="1"/>
    </xf>
    <xf numFmtId="49" fontId="60" fillId="0" borderId="0" xfId="0" applyNumberFormat="1" applyFont="1" applyAlignment="1">
      <alignment horizontal="left" vertical="center" shrinkToFit="1" readingOrder="1"/>
    </xf>
    <xf numFmtId="0" fontId="60" fillId="0" borderId="0" xfId="0" applyFont="1" applyAlignment="1">
      <alignment vertical="center" readingOrder="1"/>
    </xf>
    <xf numFmtId="0" fontId="60" fillId="0" borderId="0" xfId="0" applyFont="1" applyAlignment="1">
      <alignment vertical="center" wrapText="1" shrinkToFit="1" readingOrder="1"/>
    </xf>
    <xf numFmtId="0" fontId="32" fillId="15" borderId="4" xfId="0" applyFont="1" applyFill="1" applyBorder="1"/>
    <xf numFmtId="4" fontId="61" fillId="15" borderId="3" xfId="0" applyNumberFormat="1" applyFont="1" applyFill="1" applyBorder="1" applyAlignment="1">
      <alignment horizontal="right"/>
    </xf>
    <xf numFmtId="9" fontId="32" fillId="15" borderId="4" xfId="22" applyFont="1" applyFill="1" applyBorder="1"/>
    <xf numFmtId="9" fontId="32" fillId="15" borderId="4" xfId="22" applyFont="1" applyFill="1" applyBorder="1" applyAlignment="1">
      <alignment horizontal="right"/>
    </xf>
    <xf numFmtId="3" fontId="61" fillId="15" borderId="3" xfId="0" applyNumberFormat="1" applyFont="1" applyFill="1" applyBorder="1" applyAlignment="1">
      <alignment horizontal="right"/>
    </xf>
    <xf numFmtId="166" fontId="32" fillId="15" borderId="0" xfId="22" applyNumberFormat="1" applyFont="1" applyFill="1" applyBorder="1" applyAlignment="1">
      <alignment horizontal="right"/>
    </xf>
    <xf numFmtId="166" fontId="32" fillId="15" borderId="4" xfId="22" applyNumberFormat="1" applyFont="1" applyFill="1" applyBorder="1" applyAlignment="1">
      <alignment horizontal="right"/>
    </xf>
    <xf numFmtId="4" fontId="32" fillId="15" borderId="4" xfId="0" applyNumberFormat="1" applyFont="1" applyFill="1" applyBorder="1" applyAlignment="1">
      <alignment horizontal="right"/>
    </xf>
    <xf numFmtId="166" fontId="32" fillId="15" borderId="4" xfId="0" applyNumberFormat="1" applyFont="1" applyFill="1" applyBorder="1" applyAlignment="1">
      <alignment horizontal="right"/>
    </xf>
    <xf numFmtId="4" fontId="32" fillId="15" borderId="3" xfId="0" applyNumberFormat="1" applyFont="1" applyFill="1" applyBorder="1" applyAlignment="1">
      <alignment horizontal="right"/>
    </xf>
    <xf numFmtId="166" fontId="61" fillId="15" borderId="4" xfId="0" applyNumberFormat="1" applyFont="1" applyFill="1" applyBorder="1" applyAlignment="1">
      <alignment horizontal="right"/>
    </xf>
    <xf numFmtId="0" fontId="61" fillId="15" borderId="4" xfId="0" applyFont="1" applyFill="1" applyBorder="1"/>
    <xf numFmtId="4" fontId="61" fillId="15" borderId="4" xfId="0" applyNumberFormat="1" applyFont="1" applyFill="1" applyBorder="1" applyAlignment="1">
      <alignment horizontal="right"/>
    </xf>
    <xf numFmtId="9" fontId="61" fillId="15" borderId="4" xfId="22" applyFont="1" applyFill="1" applyBorder="1" applyAlignment="1">
      <alignment horizontal="right"/>
    </xf>
    <xf numFmtId="166" fontId="61" fillId="15" borderId="0" xfId="22" applyNumberFormat="1" applyFont="1" applyFill="1" applyBorder="1" applyAlignment="1">
      <alignment horizontal="right"/>
    </xf>
    <xf numFmtId="166" fontId="61" fillId="15" borderId="4" xfId="22" applyNumberFormat="1" applyFont="1" applyFill="1" applyBorder="1" applyAlignment="1">
      <alignment horizontal="right"/>
    </xf>
    <xf numFmtId="0" fontId="5" fillId="0" borderId="25" xfId="0" applyFont="1" applyBorder="1"/>
    <xf numFmtId="0" fontId="3" fillId="0" borderId="37" xfId="0" applyFont="1" applyBorder="1"/>
    <xf numFmtId="4" fontId="3" fillId="0" borderId="27" xfId="0" applyNumberFormat="1" applyFont="1" applyBorder="1" applyAlignment="1">
      <alignment horizontal="right"/>
    </xf>
    <xf numFmtId="4" fontId="3" fillId="0" borderId="38" xfId="0" applyNumberFormat="1" applyFont="1" applyBorder="1" applyAlignment="1">
      <alignment horizontal="right"/>
    </xf>
    <xf numFmtId="4" fontId="3" fillId="0" borderId="37" xfId="0" applyNumberFormat="1" applyFont="1" applyBorder="1" applyAlignment="1">
      <alignment horizontal="right"/>
    </xf>
    <xf numFmtId="166" fontId="3" fillId="0" borderId="27" xfId="0" quotePrefix="1" applyNumberFormat="1" applyFont="1" applyBorder="1" applyAlignment="1">
      <alignment horizontal="left"/>
    </xf>
    <xf numFmtId="166" fontId="3" fillId="0" borderId="37" xfId="0" quotePrefix="1" applyNumberFormat="1" applyFont="1" applyBorder="1" applyAlignment="1">
      <alignment horizontal="left"/>
    </xf>
    <xf numFmtId="166" fontId="3" fillId="0" borderId="26" xfId="0" quotePrefix="1" applyNumberFormat="1" applyFont="1" applyBorder="1" applyAlignment="1">
      <alignment horizontal="left"/>
    </xf>
    <xf numFmtId="0" fontId="3" fillId="0" borderId="28" xfId="0" quotePrefix="1" applyFont="1" applyBorder="1" applyAlignment="1">
      <alignment horizontal="left" indent="2"/>
    </xf>
    <xf numFmtId="166" fontId="3" fillId="0" borderId="29" xfId="0" quotePrefix="1" applyNumberFormat="1" applyFont="1" applyBorder="1" applyAlignment="1">
      <alignment horizontal="right"/>
    </xf>
    <xf numFmtId="0" fontId="3" fillId="0" borderId="28" xfId="0" quotePrefix="1" applyFont="1" applyBorder="1" applyAlignment="1">
      <alignment horizontal="left" indent="1"/>
    </xf>
    <xf numFmtId="166" fontId="3" fillId="0" borderId="29" xfId="0" applyNumberFormat="1" applyFont="1" applyBorder="1" applyAlignment="1">
      <alignment horizontal="right"/>
    </xf>
    <xf numFmtId="0" fontId="61" fillId="15" borderId="28" xfId="0" quotePrefix="1" applyFont="1" applyFill="1" applyBorder="1"/>
    <xf numFmtId="166" fontId="61" fillId="15" borderId="29" xfId="22" applyNumberFormat="1" applyFont="1" applyFill="1" applyBorder="1" applyAlignment="1">
      <alignment horizontal="right"/>
    </xf>
    <xf numFmtId="0" fontId="3" fillId="0" borderId="28" xfId="0" quotePrefix="1" applyFont="1" applyBorder="1"/>
    <xf numFmtId="166" fontId="3" fillId="0" borderId="29" xfId="22" applyNumberFormat="1" applyFont="1" applyFill="1" applyBorder="1" applyAlignment="1">
      <alignment horizontal="right"/>
    </xf>
    <xf numFmtId="0" fontId="5" fillId="0" borderId="28" xfId="0" quotePrefix="1" applyFont="1" applyBorder="1"/>
    <xf numFmtId="166" fontId="5" fillId="0" borderId="29" xfId="22" applyNumberFormat="1" applyFont="1" applyFill="1" applyBorder="1" applyAlignment="1">
      <alignment horizontal="right"/>
    </xf>
    <xf numFmtId="0" fontId="3" fillId="0" borderId="29" xfId="0" applyFont="1" applyBorder="1"/>
    <xf numFmtId="166" fontId="61" fillId="15" borderId="29" xfId="0" applyNumberFormat="1" applyFont="1" applyFill="1" applyBorder="1" applyAlignment="1">
      <alignment horizontal="right"/>
    </xf>
    <xf numFmtId="166" fontId="5" fillId="0" borderId="29" xfId="0" applyNumberFormat="1" applyFont="1" applyBorder="1" applyAlignment="1">
      <alignment horizontal="right"/>
    </xf>
    <xf numFmtId="0" fontId="3" fillId="0" borderId="28" xfId="0" applyFont="1" applyBorder="1"/>
    <xf numFmtId="166" fontId="32" fillId="15" borderId="29" xfId="22" applyNumberFormat="1" applyFont="1" applyFill="1" applyBorder="1" applyAlignment="1">
      <alignment horizontal="right"/>
    </xf>
    <xf numFmtId="9" fontId="3" fillId="0" borderId="29" xfId="22" applyFont="1" applyFill="1" applyBorder="1" applyAlignment="1">
      <alignment horizontal="right"/>
    </xf>
    <xf numFmtId="0" fontId="3" fillId="0" borderId="30" xfId="0" applyFont="1" applyBorder="1"/>
    <xf numFmtId="0" fontId="3" fillId="0" borderId="39" xfId="0" applyFont="1" applyBorder="1"/>
    <xf numFmtId="0" fontId="3" fillId="0" borderId="40" xfId="0" applyFont="1" applyBorder="1"/>
    <xf numFmtId="4" fontId="5" fillId="0" borderId="40" xfId="0" applyNumberFormat="1" applyFont="1" applyBorder="1"/>
    <xf numFmtId="0" fontId="3" fillId="0" borderId="32" xfId="0" applyFont="1" applyBorder="1"/>
    <xf numFmtId="4" fontId="5" fillId="0" borderId="32" xfId="0" applyNumberFormat="1" applyFont="1" applyBorder="1"/>
    <xf numFmtId="0" fontId="3" fillId="0" borderId="31" xfId="0" applyFont="1" applyBorder="1"/>
    <xf numFmtId="3" fontId="5" fillId="14" borderId="38" xfId="0" applyNumberFormat="1" applyFont="1" applyFill="1" applyBorder="1" applyAlignment="1">
      <alignment horizontal="right"/>
    </xf>
    <xf numFmtId="3" fontId="3" fillId="14" borderId="3" xfId="0" applyNumberFormat="1" applyFont="1" applyFill="1" applyBorder="1" applyAlignment="1">
      <alignment horizontal="right"/>
    </xf>
    <xf numFmtId="3" fontId="5" fillId="14" borderId="3" xfId="0" applyNumberFormat="1" applyFont="1" applyFill="1" applyBorder="1" applyAlignment="1">
      <alignment horizontal="right"/>
    </xf>
    <xf numFmtId="3" fontId="5" fillId="14" borderId="27" xfId="0" applyNumberFormat="1" applyFont="1" applyFill="1" applyBorder="1" applyAlignment="1">
      <alignment horizontal="right"/>
    </xf>
    <xf numFmtId="0" fontId="52" fillId="0" borderId="0" xfId="36" quotePrefix="1" applyFont="1"/>
    <xf numFmtId="0" fontId="52" fillId="0" borderId="0" xfId="36" applyFont="1"/>
    <xf numFmtId="0" fontId="7" fillId="4" borderId="0" xfId="46" applyFont="1" applyFill="1"/>
    <xf numFmtId="4" fontId="7" fillId="4" borderId="0" xfId="46" applyNumberFormat="1" applyFont="1" applyFill="1" applyAlignment="1">
      <alignment horizontal="right"/>
    </xf>
    <xf numFmtId="0" fontId="7" fillId="4" borderId="0" xfId="46" applyFont="1" applyFill="1" applyAlignment="1">
      <alignment horizontal="right"/>
    </xf>
    <xf numFmtId="0" fontId="3" fillId="4" borderId="0" xfId="46" applyFill="1"/>
    <xf numFmtId="4" fontId="3" fillId="4" borderId="0" xfId="46" applyNumberFormat="1" applyFill="1" applyAlignment="1">
      <alignment horizontal="right"/>
    </xf>
    <xf numFmtId="0" fontId="3" fillId="4" borderId="0" xfId="46" applyFill="1" applyAlignment="1">
      <alignment horizontal="right"/>
    </xf>
    <xf numFmtId="0" fontId="7" fillId="4" borderId="0" xfId="46" applyFont="1" applyFill="1" applyAlignment="1">
      <alignment horizontal="left"/>
    </xf>
    <xf numFmtId="0" fontId="11" fillId="4" borderId="0" xfId="46" applyFont="1" applyFill="1" applyAlignment="1">
      <alignment horizontal="left"/>
    </xf>
    <xf numFmtId="0" fontId="5" fillId="4" borderId="0" xfId="46" applyFont="1" applyFill="1" applyAlignment="1">
      <alignment horizontal="left"/>
    </xf>
    <xf numFmtId="4" fontId="5" fillId="4" borderId="0" xfId="46" applyNumberFormat="1" applyFont="1" applyFill="1" applyAlignment="1">
      <alignment horizontal="right"/>
    </xf>
    <xf numFmtId="4" fontId="5" fillId="4" borderId="8" xfId="46" applyNumberFormat="1" applyFont="1" applyFill="1" applyBorder="1" applyAlignment="1">
      <alignment horizontal="right"/>
    </xf>
    <xf numFmtId="4" fontId="11" fillId="4" borderId="10" xfId="0" applyNumberFormat="1" applyFont="1" applyFill="1" applyBorder="1" applyAlignment="1">
      <alignment horizontal="right"/>
    </xf>
    <xf numFmtId="4" fontId="11" fillId="4" borderId="4" xfId="0" applyNumberFormat="1" applyFont="1" applyFill="1" applyBorder="1"/>
    <xf numFmtId="10" fontId="11" fillId="4" borderId="12" xfId="0" applyNumberFormat="1" applyFont="1" applyFill="1" applyBorder="1" applyAlignment="1">
      <alignment horizontal="right"/>
    </xf>
    <xf numFmtId="0" fontId="11" fillId="4" borderId="2" xfId="0" applyFont="1" applyFill="1" applyBorder="1"/>
    <xf numFmtId="0" fontId="11" fillId="4" borderId="2" xfId="0" applyFont="1" applyFill="1" applyBorder="1" applyAlignment="1">
      <alignment horizontal="right"/>
    </xf>
    <xf numFmtId="4" fontId="11" fillId="4" borderId="12" xfId="0" applyNumberFormat="1" applyFont="1" applyFill="1" applyBorder="1" applyAlignment="1">
      <alignment horizontal="right"/>
    </xf>
    <xf numFmtId="10" fontId="3" fillId="4" borderId="0" xfId="22" applyNumberFormat="1" applyFont="1" applyFill="1"/>
    <xf numFmtId="9" fontId="3" fillId="4" borderId="0" xfId="22" applyFont="1" applyFill="1"/>
    <xf numFmtId="10" fontId="3" fillId="4" borderId="0" xfId="0" applyNumberFormat="1" applyFont="1" applyFill="1"/>
    <xf numFmtId="9" fontId="3" fillId="4" borderId="2" xfId="22" applyFont="1" applyFill="1" applyBorder="1"/>
    <xf numFmtId="10" fontId="3" fillId="4" borderId="2" xfId="0" applyNumberFormat="1" applyFont="1" applyFill="1" applyBorder="1"/>
    <xf numFmtId="0" fontId="3" fillId="4" borderId="0" xfId="0" applyFont="1" applyFill="1" applyAlignment="1">
      <alignment horizontal="left"/>
    </xf>
    <xf numFmtId="0" fontId="3" fillId="4" borderId="0" xfId="46" quotePrefix="1" applyFill="1"/>
    <xf numFmtId="49" fontId="60" fillId="0" borderId="0" xfId="0" quotePrefix="1" applyNumberFormat="1" applyFont="1" applyAlignment="1">
      <alignment vertical="center" shrinkToFit="1" readingOrder="1"/>
    </xf>
    <xf numFmtId="0" fontId="64" fillId="4" borderId="0" xfId="46" applyFont="1" applyFill="1"/>
    <xf numFmtId="0" fontId="65" fillId="4" borderId="0" xfId="46" applyFont="1" applyFill="1"/>
    <xf numFmtId="0" fontId="66" fillId="15" borderId="7" xfId="46" applyFont="1" applyFill="1" applyBorder="1" applyAlignment="1">
      <alignment vertical="center"/>
    </xf>
    <xf numFmtId="0" fontId="67" fillId="4" borderId="0" xfId="46" applyFont="1" applyFill="1" applyAlignment="1">
      <alignment vertical="center"/>
    </xf>
    <xf numFmtId="0" fontId="3" fillId="4" borderId="0" xfId="46" applyFill="1" applyAlignment="1">
      <alignment vertical="center"/>
    </xf>
    <xf numFmtId="0" fontId="3" fillId="0" borderId="0" xfId="46" applyAlignment="1">
      <alignment vertical="center"/>
    </xf>
    <xf numFmtId="0" fontId="5" fillId="4" borderId="0" xfId="46" applyFont="1" applyFill="1"/>
    <xf numFmtId="0" fontId="67" fillId="4" borderId="0" xfId="46" applyFont="1" applyFill="1" applyAlignment="1">
      <alignment vertical="top" wrapText="1"/>
    </xf>
    <xf numFmtId="0" fontId="68" fillId="4" borderId="13" xfId="46" applyFont="1" applyFill="1" applyBorder="1" applyAlignment="1">
      <alignment vertical="top"/>
    </xf>
    <xf numFmtId="0" fontId="68" fillId="4" borderId="13" xfId="46" applyFont="1" applyFill="1" applyBorder="1" applyAlignment="1">
      <alignment horizontal="left" vertical="top"/>
    </xf>
    <xf numFmtId="0" fontId="68" fillId="4" borderId="42" xfId="46" applyFont="1" applyFill="1" applyBorder="1" applyAlignment="1">
      <alignment horizontal="left" vertical="top"/>
    </xf>
    <xf numFmtId="0" fontId="68" fillId="4" borderId="0" xfId="46" applyFont="1" applyFill="1" applyAlignment="1">
      <alignment vertical="top" wrapText="1"/>
    </xf>
    <xf numFmtId="0" fontId="68" fillId="4" borderId="42" xfId="46" applyFont="1" applyFill="1" applyBorder="1" applyAlignment="1">
      <alignment vertical="top"/>
    </xf>
    <xf numFmtId="0" fontId="68" fillId="0" borderId="0" xfId="46" quotePrefix="1" applyFont="1" applyAlignment="1">
      <alignment vertical="top" wrapText="1"/>
    </xf>
    <xf numFmtId="0" fontId="68" fillId="0" borderId="0" xfId="46" applyFont="1" applyAlignment="1">
      <alignment vertical="top" wrapText="1"/>
    </xf>
    <xf numFmtId="0" fontId="66" fillId="15" borderId="7" xfId="46" applyFont="1" applyFill="1" applyBorder="1" applyAlignment="1">
      <alignment vertical="center" wrapText="1"/>
    </xf>
    <xf numFmtId="0" fontId="67" fillId="4" borderId="0" xfId="46" applyFont="1" applyFill="1" applyAlignment="1">
      <alignment vertical="center" wrapText="1"/>
    </xf>
    <xf numFmtId="0" fontId="67" fillId="4" borderId="0" xfId="46" applyFont="1" applyFill="1"/>
    <xf numFmtId="0" fontId="68" fillId="14" borderId="13" xfId="46" applyFont="1" applyFill="1" applyBorder="1" applyAlignment="1">
      <alignment vertical="top" wrapText="1"/>
    </xf>
    <xf numFmtId="0" fontId="68" fillId="14" borderId="13" xfId="46" applyFont="1" applyFill="1" applyBorder="1" applyAlignment="1">
      <alignment vertical="top"/>
    </xf>
    <xf numFmtId="0" fontId="68" fillId="14" borderId="42" xfId="46" applyFont="1" applyFill="1" applyBorder="1" applyAlignment="1">
      <alignment vertical="top"/>
    </xf>
    <xf numFmtId="0" fontId="68" fillId="14" borderId="42" xfId="46" applyFont="1" applyFill="1" applyBorder="1" applyAlignment="1">
      <alignment vertical="top" wrapText="1"/>
    </xf>
    <xf numFmtId="0" fontId="3" fillId="0" borderId="0" xfId="46" applyAlignment="1">
      <alignment vertical="top" wrapText="1"/>
    </xf>
    <xf numFmtId="0" fontId="67" fillId="0" borderId="0" xfId="46" applyFont="1"/>
    <xf numFmtId="0" fontId="3" fillId="14" borderId="1" xfId="0" applyFont="1" applyFill="1" applyBorder="1"/>
    <xf numFmtId="164" fontId="3" fillId="14" borderId="6" xfId="12" applyNumberFormat="1" applyFont="1" applyFill="1" applyBorder="1"/>
    <xf numFmtId="0" fontId="3" fillId="14" borderId="6" xfId="0" applyFont="1" applyFill="1" applyBorder="1"/>
    <xf numFmtId="0" fontId="3" fillId="14" borderId="3" xfId="0" applyFont="1" applyFill="1" applyBorder="1"/>
    <xf numFmtId="164" fontId="3" fillId="14" borderId="0" xfId="12" applyNumberFormat="1" applyFont="1" applyFill="1" applyBorder="1"/>
    <xf numFmtId="0" fontId="3" fillId="14" borderId="0" xfId="0" applyFont="1" applyFill="1"/>
    <xf numFmtId="0" fontId="5" fillId="14" borderId="3" xfId="0" applyFont="1" applyFill="1" applyBorder="1" applyAlignment="1">
      <alignment vertical="center"/>
    </xf>
    <xf numFmtId="0" fontId="3" fillId="14" borderId="0" xfId="0" applyFont="1" applyFill="1" applyAlignment="1">
      <alignment vertical="center"/>
    </xf>
    <xf numFmtId="0" fontId="5" fillId="14" borderId="11" xfId="0" applyFont="1" applyFill="1" applyBorder="1" applyAlignment="1">
      <alignment vertical="center"/>
    </xf>
    <xf numFmtId="0" fontId="5" fillId="14" borderId="2" xfId="0" applyFont="1" applyFill="1" applyBorder="1" applyAlignment="1">
      <alignment vertical="center"/>
    </xf>
    <xf numFmtId="164" fontId="3" fillId="14" borderId="10" xfId="12" applyNumberFormat="1" applyFont="1" applyFill="1" applyBorder="1"/>
    <xf numFmtId="164" fontId="3" fillId="14" borderId="4" xfId="12" applyNumberFormat="1" applyFont="1" applyFill="1" applyBorder="1"/>
    <xf numFmtId="164" fontId="3" fillId="14" borderId="4" xfId="0" applyNumberFormat="1" applyFont="1" applyFill="1" applyBorder="1"/>
    <xf numFmtId="164" fontId="5" fillId="14" borderId="4" xfId="12" applyNumberFormat="1" applyFont="1" applyFill="1" applyBorder="1" applyAlignment="1">
      <alignment vertical="center"/>
    </xf>
    <xf numFmtId="165" fontId="5" fillId="14" borderId="4" xfId="12" applyFont="1" applyFill="1" applyBorder="1"/>
    <xf numFmtId="167" fontId="3" fillId="0" borderId="4" xfId="0" applyNumberFormat="1" applyFont="1" applyBorder="1"/>
    <xf numFmtId="0" fontId="6" fillId="4" borderId="3" xfId="0" applyFont="1" applyFill="1" applyBorder="1"/>
    <xf numFmtId="167" fontId="6" fillId="4" borderId="4" xfId="0" applyNumberFormat="1" applyFont="1" applyFill="1" applyBorder="1"/>
    <xf numFmtId="4" fontId="3" fillId="4" borderId="0" xfId="0" applyNumberFormat="1" applyFont="1" applyFill="1" applyAlignment="1">
      <alignment horizontal="right"/>
    </xf>
    <xf numFmtId="3" fontId="69" fillId="4" borderId="3" xfId="0" quotePrefix="1" applyNumberFormat="1" applyFont="1" applyFill="1" applyBorder="1"/>
    <xf numFmtId="0" fontId="8" fillId="4" borderId="3" xfId="0" applyFont="1" applyFill="1" applyBorder="1"/>
    <xf numFmtId="0" fontId="3" fillId="4" borderId="3" xfId="0" applyFont="1" applyFill="1" applyBorder="1" applyAlignment="1">
      <alignment horizontal="left" vertical="top" wrapText="1"/>
    </xf>
    <xf numFmtId="0" fontId="3" fillId="4" borderId="0" xfId="0" applyFont="1" applyFill="1" applyAlignment="1">
      <alignment horizontal="left" vertical="top" wrapText="1"/>
    </xf>
    <xf numFmtId="0" fontId="3" fillId="4" borderId="4" xfId="0" applyFont="1" applyFill="1" applyBorder="1" applyAlignment="1">
      <alignment horizontal="left" vertical="top" wrapText="1"/>
    </xf>
    <xf numFmtId="0" fontId="5" fillId="4" borderId="3" xfId="0" applyFont="1" applyFill="1" applyBorder="1" applyAlignment="1">
      <alignment vertical="center"/>
    </xf>
    <xf numFmtId="164" fontId="5" fillId="4" borderId="0" xfId="0" applyNumberFormat="1" applyFont="1" applyFill="1" applyAlignment="1">
      <alignment vertical="center"/>
    </xf>
    <xf numFmtId="0" fontId="5" fillId="4" borderId="0" xfId="0" applyFont="1" applyFill="1" applyAlignment="1">
      <alignment vertical="center"/>
    </xf>
    <xf numFmtId="167" fontId="5" fillId="4" borderId="4" xfId="0" applyNumberFormat="1" applyFont="1" applyFill="1" applyBorder="1" applyAlignment="1">
      <alignment vertical="center"/>
    </xf>
    <xf numFmtId="167" fontId="50" fillId="4" borderId="4" xfId="0" applyNumberFormat="1" applyFont="1" applyFill="1" applyBorder="1"/>
    <xf numFmtId="164" fontId="11" fillId="4" borderId="3" xfId="0" applyNumberFormat="1" applyFont="1" applyFill="1" applyBorder="1"/>
    <xf numFmtId="0" fontId="10" fillId="4" borderId="3" xfId="0" applyFont="1" applyFill="1" applyBorder="1"/>
    <xf numFmtId="0" fontId="8" fillId="4" borderId="0" xfId="0" applyFont="1" applyFill="1"/>
    <xf numFmtId="0" fontId="5" fillId="4" borderId="0" xfId="0" applyFont="1" applyFill="1"/>
    <xf numFmtId="4" fontId="5" fillId="4" borderId="0" xfId="0" applyNumberFormat="1" applyFont="1" applyFill="1"/>
    <xf numFmtId="0" fontId="52" fillId="0" borderId="0" xfId="43" applyFont="1" applyAlignment="1">
      <alignment horizontal="left"/>
    </xf>
    <xf numFmtId="0" fontId="3" fillId="4" borderId="4" xfId="0" applyFont="1" applyFill="1" applyBorder="1"/>
    <xf numFmtId="0" fontId="7" fillId="4" borderId="3" xfId="0" applyFont="1" applyFill="1" applyBorder="1"/>
    <xf numFmtId="0" fontId="50" fillId="4" borderId="4" xfId="0" applyFont="1" applyFill="1" applyBorder="1"/>
    <xf numFmtId="4" fontId="11" fillId="4" borderId="0" xfId="0" applyNumberFormat="1" applyFont="1" applyFill="1"/>
    <xf numFmtId="9" fontId="3" fillId="4" borderId="0" xfId="22" applyFont="1" applyFill="1" applyBorder="1"/>
    <xf numFmtId="4" fontId="3" fillId="4" borderId="23" xfId="0" applyNumberFormat="1" applyFont="1" applyFill="1" applyBorder="1" applyAlignment="1">
      <alignment horizontal="right"/>
    </xf>
    <xf numFmtId="0" fontId="3" fillId="4" borderId="0" xfId="0" quotePrefix="1" applyFont="1" applyFill="1" applyAlignment="1">
      <alignment horizontal="right"/>
    </xf>
    <xf numFmtId="10" fontId="3" fillId="4" borderId="0" xfId="22" applyNumberFormat="1" applyFont="1" applyFill="1" applyBorder="1"/>
    <xf numFmtId="4" fontId="3" fillId="4" borderId="5" xfId="0" applyNumberFormat="1" applyFont="1" applyFill="1" applyBorder="1"/>
    <xf numFmtId="4" fontId="3" fillId="4" borderId="23" xfId="0" applyNumberFormat="1" applyFont="1" applyFill="1" applyBorder="1"/>
    <xf numFmtId="0" fontId="5" fillId="4" borderId="4" xfId="0" applyFont="1" applyFill="1" applyBorder="1"/>
    <xf numFmtId="4" fontId="3" fillId="4" borderId="0" xfId="0" quotePrefix="1" applyNumberFormat="1" applyFont="1" applyFill="1" applyAlignment="1">
      <alignment horizontal="right"/>
    </xf>
    <xf numFmtId="0" fontId="5" fillId="4" borderId="11" xfId="0" applyFont="1" applyFill="1" applyBorder="1"/>
    <xf numFmtId="4" fontId="5" fillId="4" borderId="2" xfId="0" applyNumberFormat="1" applyFont="1" applyFill="1" applyBorder="1"/>
    <xf numFmtId="0" fontId="3" fillId="4" borderId="12" xfId="0" applyFont="1" applyFill="1" applyBorder="1"/>
    <xf numFmtId="0" fontId="5" fillId="4" borderId="1" xfId="0" applyFont="1" applyFill="1" applyBorder="1"/>
    <xf numFmtId="0" fontId="3" fillId="4" borderId="36" xfId="0" applyFont="1" applyFill="1" applyBorder="1"/>
    <xf numFmtId="4" fontId="5" fillId="4" borderId="36" xfId="0" applyNumberFormat="1" applyFont="1" applyFill="1" applyBorder="1"/>
    <xf numFmtId="0" fontId="3" fillId="4" borderId="10" xfId="0" applyFont="1" applyFill="1" applyBorder="1"/>
    <xf numFmtId="0" fontId="52" fillId="4" borderId="3" xfId="0" applyFont="1" applyFill="1" applyBorder="1"/>
    <xf numFmtId="10" fontId="3" fillId="4" borderId="0" xfId="22" applyNumberFormat="1" applyFont="1" applyFill="1" applyBorder="1" applyAlignment="1">
      <alignment horizontal="center"/>
    </xf>
    <xf numFmtId="10" fontId="5" fillId="4" borderId="0" xfId="22" applyNumberFormat="1" applyFont="1" applyFill="1" applyBorder="1" applyAlignment="1">
      <alignment horizontal="center"/>
    </xf>
    <xf numFmtId="4" fontId="5" fillId="14" borderId="7" xfId="0" applyNumberFormat="1" applyFont="1" applyFill="1" applyBorder="1"/>
    <xf numFmtId="0" fontId="36" fillId="0" borderId="0" xfId="0" applyFont="1"/>
    <xf numFmtId="4" fontId="36" fillId="0" borderId="0" xfId="0" applyNumberFormat="1" applyFont="1" applyAlignment="1">
      <alignment horizontal="right"/>
    </xf>
    <xf numFmtId="0" fontId="68" fillId="4" borderId="41" xfId="58" applyFont="1" applyFill="1" applyBorder="1"/>
    <xf numFmtId="0" fontId="68" fillId="4" borderId="13" xfId="58" applyFont="1" applyFill="1" applyBorder="1" applyAlignment="1">
      <alignment horizontal="left" wrapText="1"/>
    </xf>
    <xf numFmtId="0" fontId="68" fillId="4" borderId="13" xfId="58" applyFont="1" applyFill="1" applyBorder="1" applyAlignment="1">
      <alignment wrapText="1"/>
    </xf>
    <xf numFmtId="0" fontId="68" fillId="4" borderId="13" xfId="58" applyFont="1" applyFill="1" applyBorder="1" applyAlignment="1">
      <alignment horizontal="left"/>
    </xf>
    <xf numFmtId="0" fontId="68" fillId="14" borderId="41" xfId="58" applyFont="1" applyFill="1" applyBorder="1" applyAlignment="1">
      <alignment horizontal="left" wrapText="1"/>
    </xf>
    <xf numFmtId="0" fontId="68" fillId="14" borderId="13" xfId="58" applyFont="1" applyFill="1" applyBorder="1" applyAlignment="1">
      <alignment horizontal="left" wrapText="1"/>
    </xf>
    <xf numFmtId="0" fontId="70" fillId="0" borderId="0" xfId="46" applyFont="1"/>
    <xf numFmtId="4" fontId="50" fillId="4" borderId="0" xfId="0" applyNumberFormat="1" applyFont="1" applyFill="1"/>
    <xf numFmtId="177" fontId="3" fillId="0" borderId="0" xfId="0" applyNumberFormat="1" applyFont="1"/>
    <xf numFmtId="0" fontId="11" fillId="4" borderId="25" xfId="0" applyFont="1" applyFill="1" applyBorder="1"/>
    <xf numFmtId="0" fontId="11" fillId="4" borderId="27" xfId="0" applyFont="1" applyFill="1" applyBorder="1"/>
    <xf numFmtId="0" fontId="11" fillId="4" borderId="27" xfId="0" applyFont="1" applyFill="1" applyBorder="1" applyAlignment="1">
      <alignment horizontal="right"/>
    </xf>
    <xf numFmtId="4" fontId="11" fillId="4" borderId="27" xfId="0" applyNumberFormat="1" applyFont="1" applyFill="1" applyBorder="1" applyAlignment="1">
      <alignment horizontal="right"/>
    </xf>
    <xf numFmtId="0" fontId="11" fillId="4" borderId="26" xfId="0" applyFont="1" applyFill="1" applyBorder="1"/>
    <xf numFmtId="0" fontId="11" fillId="4" borderId="28" xfId="0" applyFont="1" applyFill="1" applyBorder="1"/>
    <xf numFmtId="0" fontId="11" fillId="4" borderId="29" xfId="0" applyFont="1" applyFill="1" applyBorder="1"/>
    <xf numFmtId="178" fontId="11" fillId="4" borderId="0" xfId="0" applyNumberFormat="1" applyFont="1" applyFill="1" applyAlignment="1">
      <alignment horizontal="right"/>
    </xf>
    <xf numFmtId="0" fontId="11" fillId="4" borderId="0" xfId="0" applyFont="1" applyFill="1" applyAlignment="1">
      <alignment horizontal="left"/>
    </xf>
    <xf numFmtId="4" fontId="11" fillId="4" borderId="0" xfId="0" applyNumberFormat="1" applyFont="1" applyFill="1" applyAlignment="1">
      <alignment horizontal="right"/>
    </xf>
    <xf numFmtId="0" fontId="11" fillId="4" borderId="0" xfId="0" quotePrefix="1" applyFont="1" applyFill="1" applyAlignment="1">
      <alignment horizontal="left"/>
    </xf>
    <xf numFmtId="10" fontId="11" fillId="4" borderId="0" xfId="0" applyNumberFormat="1" applyFont="1" applyFill="1" applyAlignment="1">
      <alignment horizontal="right"/>
    </xf>
    <xf numFmtId="0" fontId="11" fillId="4" borderId="0" xfId="0" quotePrefix="1" applyFont="1" applyFill="1" applyAlignment="1">
      <alignment horizontal="right"/>
    </xf>
    <xf numFmtId="4" fontId="10" fillId="4" borderId="0" xfId="0" applyNumberFormat="1" applyFont="1" applyFill="1" applyAlignment="1">
      <alignment horizontal="right"/>
    </xf>
    <xf numFmtId="0" fontId="10" fillId="4" borderId="0" xfId="0" applyFont="1" applyFill="1" applyAlignment="1">
      <alignment horizontal="left"/>
    </xf>
    <xf numFmtId="0" fontId="11" fillId="4" borderId="36" xfId="0" applyFont="1" applyFill="1" applyBorder="1" applyAlignment="1">
      <alignment horizontal="right"/>
    </xf>
    <xf numFmtId="9" fontId="11" fillId="4" borderId="0" xfId="0" applyNumberFormat="1" applyFont="1" applyFill="1" applyAlignment="1">
      <alignment horizontal="right"/>
    </xf>
    <xf numFmtId="0" fontId="11" fillId="4" borderId="36" xfId="0" applyFont="1" applyFill="1" applyBorder="1"/>
    <xf numFmtId="4" fontId="11" fillId="4" borderId="0" xfId="0" quotePrefix="1" applyNumberFormat="1" applyFont="1" applyFill="1" applyAlignment="1">
      <alignment horizontal="left"/>
    </xf>
    <xf numFmtId="4" fontId="15" fillId="4" borderId="0" xfId="0" quotePrefix="1" applyNumberFormat="1" applyFont="1" applyFill="1" applyAlignment="1">
      <alignment horizontal="left"/>
    </xf>
    <xf numFmtId="0" fontId="10" fillId="4" borderId="0" xfId="0" applyFont="1" applyFill="1"/>
    <xf numFmtId="0" fontId="10" fillId="4" borderId="0" xfId="0" applyFont="1" applyFill="1" applyAlignment="1">
      <alignment horizontal="right"/>
    </xf>
    <xf numFmtId="0" fontId="10" fillId="4" borderId="28" xfId="0" applyFont="1" applyFill="1" applyBorder="1"/>
    <xf numFmtId="0" fontId="10" fillId="4" borderId="30" xfId="0" applyFont="1" applyFill="1" applyBorder="1"/>
    <xf numFmtId="0" fontId="11" fillId="4" borderId="32" xfId="0" applyFont="1" applyFill="1" applyBorder="1"/>
    <xf numFmtId="0" fontId="11" fillId="4" borderId="32" xfId="0" applyFont="1" applyFill="1" applyBorder="1" applyAlignment="1">
      <alignment horizontal="right"/>
    </xf>
    <xf numFmtId="0" fontId="10" fillId="4" borderId="32" xfId="0" applyFont="1" applyFill="1" applyBorder="1" applyAlignment="1">
      <alignment horizontal="right"/>
    </xf>
    <xf numFmtId="4" fontId="10" fillId="4" borderId="32" xfId="0" applyNumberFormat="1" applyFont="1" applyFill="1" applyBorder="1" applyAlignment="1">
      <alignment horizontal="right"/>
    </xf>
    <xf numFmtId="0" fontId="11" fillId="4" borderId="31" xfId="0" applyFont="1" applyFill="1" applyBorder="1"/>
    <xf numFmtId="0" fontId="68" fillId="14" borderId="13" xfId="46" applyFont="1" applyFill="1" applyBorder="1" applyAlignment="1">
      <alignment horizontal="left" vertical="top" wrapText="1"/>
    </xf>
    <xf numFmtId="0" fontId="68" fillId="4" borderId="13" xfId="46" applyFont="1" applyFill="1" applyBorder="1" applyAlignment="1">
      <alignment horizontal="left" vertical="top" wrapText="1"/>
    </xf>
    <xf numFmtId="0" fontId="68" fillId="4" borderId="41" xfId="58" applyFont="1" applyFill="1" applyBorder="1" applyAlignment="1">
      <alignment horizontal="left" wrapText="1"/>
    </xf>
    <xf numFmtId="0" fontId="68" fillId="4" borderId="13" xfId="46" applyFont="1" applyFill="1" applyBorder="1" applyAlignment="1">
      <alignment vertical="top" wrapText="1"/>
    </xf>
    <xf numFmtId="0" fontId="8" fillId="7" borderId="0" xfId="43" applyFont="1" applyFill="1"/>
    <xf numFmtId="4" fontId="5" fillId="7" borderId="0" xfId="43" applyNumberFormat="1" applyFont="1" applyFill="1" applyAlignment="1">
      <alignment horizontal="right"/>
    </xf>
    <xf numFmtId="9" fontId="3" fillId="6" borderId="0" xfId="22" applyFont="1" applyFill="1" applyBorder="1" applyAlignment="1">
      <alignment horizontal="left"/>
    </xf>
    <xf numFmtId="4" fontId="3" fillId="0" borderId="2" xfId="0" applyNumberFormat="1" applyFont="1" applyBorder="1"/>
    <xf numFmtId="0" fontId="3" fillId="0" borderId="1" xfId="0" quotePrefix="1" applyFont="1" applyBorder="1"/>
    <xf numFmtId="4" fontId="71" fillId="0" borderId="0" xfId="0" applyNumberFormat="1" applyFont="1" applyAlignment="1">
      <alignment vertical="center" readingOrder="1"/>
    </xf>
    <xf numFmtId="3" fontId="3" fillId="0" borderId="0" xfId="0" applyNumberFormat="1" applyFont="1"/>
    <xf numFmtId="176" fontId="3" fillId="0" borderId="0" xfId="0" applyNumberFormat="1" applyFont="1" applyAlignment="1">
      <alignment horizontal="right"/>
    </xf>
    <xf numFmtId="0" fontId="72" fillId="0" borderId="0" xfId="0" applyFont="1"/>
    <xf numFmtId="0" fontId="3" fillId="4" borderId="28" xfId="0" quotePrefix="1" applyFont="1" applyFill="1" applyBorder="1"/>
    <xf numFmtId="0" fontId="3" fillId="4" borderId="28" xfId="0" applyFont="1" applyFill="1" applyBorder="1"/>
    <xf numFmtId="0" fontId="5" fillId="4" borderId="28" xfId="0" applyFont="1" applyFill="1" applyBorder="1"/>
    <xf numFmtId="4" fontId="11" fillId="0" borderId="0" xfId="0" applyNumberFormat="1" applyFont="1" applyAlignment="1">
      <alignment horizontal="center"/>
    </xf>
    <xf numFmtId="3" fontId="5" fillId="14" borderId="25" xfId="0" applyNumberFormat="1" applyFont="1" applyFill="1" applyBorder="1" applyAlignment="1">
      <alignment horizontal="right"/>
    </xf>
    <xf numFmtId="3" fontId="3" fillId="14" borderId="28" xfId="0" applyNumberFormat="1" applyFont="1" applyFill="1" applyBorder="1" applyAlignment="1">
      <alignment horizontal="right"/>
    </xf>
    <xf numFmtId="3" fontId="3" fillId="7" borderId="28" xfId="0" applyNumberFormat="1" applyFont="1" applyFill="1" applyBorder="1" applyAlignment="1">
      <alignment horizontal="right"/>
    </xf>
    <xf numFmtId="3" fontId="3" fillId="0" borderId="28" xfId="0" applyNumberFormat="1" applyFont="1" applyBorder="1" applyAlignment="1">
      <alignment horizontal="right"/>
    </xf>
    <xf numFmtId="3" fontId="5" fillId="14" borderId="28" xfId="0" applyNumberFormat="1" applyFont="1" applyFill="1" applyBorder="1" applyAlignment="1">
      <alignment horizontal="right"/>
    </xf>
    <xf numFmtId="3" fontId="61" fillId="15" borderId="28" xfId="0" applyNumberFormat="1" applyFont="1" applyFill="1" applyBorder="1" applyAlignment="1">
      <alignment horizontal="right"/>
    </xf>
    <xf numFmtId="3" fontId="5" fillId="0" borderId="28" xfId="0" applyNumberFormat="1" applyFont="1" applyBorder="1" applyAlignment="1">
      <alignment horizontal="right"/>
    </xf>
    <xf numFmtId="166" fontId="3" fillId="0" borderId="28" xfId="22" applyNumberFormat="1" applyFont="1" applyFill="1" applyBorder="1" applyAlignment="1">
      <alignment horizontal="right"/>
    </xf>
    <xf numFmtId="9" fontId="3" fillId="0" borderId="28" xfId="22" quotePrefix="1" applyFont="1" applyFill="1" applyBorder="1" applyAlignment="1">
      <alignment horizontal="right"/>
    </xf>
    <xf numFmtId="4" fontId="3" fillId="0" borderId="28" xfId="0" applyNumberFormat="1" applyFont="1" applyBorder="1" applyAlignment="1">
      <alignment horizontal="right"/>
    </xf>
    <xf numFmtId="4" fontId="5" fillId="0" borderId="30" xfId="0" applyNumberFormat="1" applyFont="1" applyBorder="1"/>
    <xf numFmtId="0" fontId="5" fillId="4" borderId="28" xfId="0" quotePrefix="1" applyFont="1" applyFill="1" applyBorder="1" applyAlignment="1">
      <alignment horizontal="left"/>
    </xf>
    <xf numFmtId="0" fontId="11" fillId="4" borderId="0" xfId="33" applyFont="1" applyFill="1"/>
    <xf numFmtId="4" fontId="11" fillId="4" borderId="2" xfId="0" quotePrefix="1" applyNumberFormat="1" applyFont="1" applyFill="1" applyBorder="1" applyAlignment="1">
      <alignment horizontal="right"/>
    </xf>
    <xf numFmtId="9" fontId="11" fillId="4" borderId="2" xfId="22" applyFont="1" applyFill="1" applyBorder="1" applyAlignment="1">
      <alignment horizontal="right"/>
    </xf>
    <xf numFmtId="0" fontId="11" fillId="4" borderId="2" xfId="0" quotePrefix="1" applyFont="1" applyFill="1" applyBorder="1" applyAlignment="1">
      <alignment horizontal="right"/>
    </xf>
    <xf numFmtId="9" fontId="11" fillId="4" borderId="2" xfId="0" applyNumberFormat="1" applyFont="1" applyFill="1" applyBorder="1" applyAlignment="1">
      <alignment horizontal="right"/>
    </xf>
    <xf numFmtId="0" fontId="3" fillId="4" borderId="0" xfId="36" quotePrefix="1" applyFont="1" applyFill="1"/>
    <xf numFmtId="0" fontId="10" fillId="4" borderId="0" xfId="36" applyFont="1" applyFill="1" applyAlignment="1">
      <alignment horizontal="right"/>
    </xf>
    <xf numFmtId="4" fontId="10" fillId="4" borderId="0" xfId="36" applyNumberFormat="1" applyFont="1" applyFill="1" applyAlignment="1">
      <alignment horizontal="right"/>
    </xf>
    <xf numFmtId="10" fontId="11" fillId="4" borderId="0" xfId="0" applyNumberFormat="1" applyFont="1" applyFill="1"/>
    <xf numFmtId="4" fontId="3" fillId="4" borderId="0" xfId="36" applyNumberFormat="1" applyFont="1" applyFill="1" applyAlignment="1">
      <alignment horizontal="right"/>
    </xf>
    <xf numFmtId="0" fontId="22" fillId="4" borderId="0" xfId="0" applyFont="1" applyFill="1" applyAlignment="1">
      <alignment horizontal="left"/>
    </xf>
    <xf numFmtId="4" fontId="11" fillId="4" borderId="2" xfId="0" applyNumberFormat="1" applyFont="1" applyFill="1" applyBorder="1"/>
    <xf numFmtId="0" fontId="7" fillId="4" borderId="0" xfId="36" applyFont="1" applyFill="1" applyAlignment="1">
      <alignment horizontal="center"/>
    </xf>
    <xf numFmtId="4" fontId="3" fillId="4" borderId="0" xfId="36" applyNumberFormat="1" applyFont="1" applyFill="1"/>
    <xf numFmtId="10" fontId="3" fillId="4" borderId="0" xfId="22" applyNumberFormat="1" applyFont="1" applyFill="1" applyAlignment="1">
      <alignment horizontal="center"/>
    </xf>
    <xf numFmtId="0" fontId="5" fillId="4" borderId="0" xfId="36" applyFont="1" applyFill="1"/>
    <xf numFmtId="4" fontId="5" fillId="4" borderId="0" xfId="36" applyNumberFormat="1" applyFont="1" applyFill="1"/>
    <xf numFmtId="2" fontId="3" fillId="4" borderId="0" xfId="36" applyNumberFormat="1" applyFont="1" applyFill="1"/>
    <xf numFmtId="9" fontId="3" fillId="4" borderId="0" xfId="36" applyNumberFormat="1" applyFont="1" applyFill="1"/>
    <xf numFmtId="14" fontId="62" fillId="4" borderId="0" xfId="0" applyNumberFormat="1" applyFont="1" applyFill="1" applyAlignment="1">
      <alignment horizontal="center"/>
    </xf>
    <xf numFmtId="0" fontId="63" fillId="4" borderId="0" xfId="0" applyFont="1" applyFill="1" applyAlignment="1">
      <alignment horizontal="center"/>
    </xf>
    <xf numFmtId="0" fontId="11" fillId="4" borderId="0" xfId="0" applyFont="1" applyFill="1" applyAlignment="1">
      <alignment horizontal="center"/>
    </xf>
    <xf numFmtId="166" fontId="3" fillId="4" borderId="0" xfId="0" quotePrefix="1" applyNumberFormat="1" applyFont="1" applyFill="1" applyAlignment="1">
      <alignment horizontal="left"/>
    </xf>
    <xf numFmtId="166" fontId="3" fillId="4" borderId="0" xfId="0" quotePrefix="1" applyNumberFormat="1" applyFont="1" applyFill="1" applyAlignment="1">
      <alignment horizontal="right"/>
    </xf>
    <xf numFmtId="166" fontId="3" fillId="4" borderId="0" xfId="0" applyNumberFormat="1" applyFont="1" applyFill="1" applyAlignment="1">
      <alignment horizontal="right"/>
    </xf>
    <xf numFmtId="166" fontId="61" fillId="4" borderId="0" xfId="22" applyNumberFormat="1" applyFont="1" applyFill="1" applyBorder="1" applyAlignment="1">
      <alignment horizontal="right"/>
    </xf>
    <xf numFmtId="166" fontId="3" fillId="4" borderId="0" xfId="22" applyNumberFormat="1" applyFont="1" applyFill="1" applyBorder="1" applyAlignment="1">
      <alignment horizontal="right"/>
    </xf>
    <xf numFmtId="166" fontId="5" fillId="4" borderId="0" xfId="22" applyNumberFormat="1" applyFont="1" applyFill="1" applyBorder="1" applyAlignment="1">
      <alignment horizontal="right"/>
    </xf>
    <xf numFmtId="166" fontId="61" fillId="4" borderId="0" xfId="0" applyNumberFormat="1" applyFont="1" applyFill="1" applyAlignment="1">
      <alignment horizontal="right"/>
    </xf>
    <xf numFmtId="166" fontId="5" fillId="4" borderId="0" xfId="0" applyNumberFormat="1" applyFont="1" applyFill="1" applyAlignment="1">
      <alignment horizontal="right"/>
    </xf>
    <xf numFmtId="166" fontId="32" fillId="4" borderId="0" xfId="22" applyNumberFormat="1" applyFont="1" applyFill="1" applyBorder="1" applyAlignment="1">
      <alignment horizontal="right"/>
    </xf>
    <xf numFmtId="9" fontId="3" fillId="4" borderId="0" xfId="22" applyFont="1" applyFill="1" applyBorder="1" applyAlignment="1">
      <alignment horizontal="right"/>
    </xf>
    <xf numFmtId="0" fontId="0" fillId="4" borderId="4" xfId="0" applyFill="1" applyBorder="1" applyAlignment="1">
      <alignment wrapText="1"/>
    </xf>
    <xf numFmtId="0" fontId="5" fillId="5" borderId="22" xfId="43" applyFont="1" applyFill="1" applyBorder="1" applyAlignment="1">
      <alignment horizontal="center"/>
    </xf>
    <xf numFmtId="0" fontId="5" fillId="5" borderId="23" xfId="43" applyFont="1" applyFill="1" applyBorder="1" applyAlignment="1">
      <alignment horizontal="left"/>
    </xf>
    <xf numFmtId="4" fontId="5" fillId="5" borderId="23" xfId="43" applyNumberFormat="1" applyFont="1" applyFill="1" applyBorder="1" applyAlignment="1">
      <alignment horizontal="right"/>
    </xf>
    <xf numFmtId="9" fontId="5" fillId="5" borderId="23" xfId="22" applyFont="1" applyFill="1" applyBorder="1" applyAlignment="1">
      <alignment horizontal="right"/>
    </xf>
    <xf numFmtId="3" fontId="5" fillId="5" borderId="23" xfId="43" applyNumberFormat="1" applyFont="1" applyFill="1" applyBorder="1" applyAlignment="1">
      <alignment horizontal="right"/>
    </xf>
    <xf numFmtId="1" fontId="5" fillId="5" borderId="23" xfId="43" applyNumberFormat="1" applyFont="1" applyFill="1" applyBorder="1" applyAlignment="1">
      <alignment horizontal="right"/>
    </xf>
    <xf numFmtId="4" fontId="5" fillId="5" borderId="24" xfId="43" applyNumberFormat="1" applyFont="1" applyFill="1" applyBorder="1" applyAlignment="1">
      <alignment horizontal="right"/>
    </xf>
    <xf numFmtId="4" fontId="5" fillId="5" borderId="23" xfId="43" quotePrefix="1" applyNumberFormat="1" applyFont="1" applyFill="1" applyBorder="1" applyAlignment="1">
      <alignment horizontal="center"/>
    </xf>
    <xf numFmtId="0" fontId="5" fillId="6" borderId="1" xfId="43" quotePrefix="1" applyFont="1" applyFill="1" applyBorder="1" applyAlignment="1">
      <alignment horizontal="center"/>
    </xf>
    <xf numFmtId="0" fontId="5" fillId="6" borderId="6" xfId="43" applyFont="1" applyFill="1" applyBorder="1"/>
    <xf numFmtId="4" fontId="3" fillId="6" borderId="6" xfId="43" applyNumberFormat="1" applyFill="1" applyBorder="1" applyAlignment="1">
      <alignment horizontal="right"/>
    </xf>
    <xf numFmtId="9" fontId="3" fillId="6" borderId="6" xfId="22" applyFont="1" applyFill="1" applyBorder="1" applyAlignment="1">
      <alignment horizontal="right"/>
    </xf>
    <xf numFmtId="3" fontId="3" fillId="6" borderId="6" xfId="43" applyNumberFormat="1" applyFill="1" applyBorder="1" applyAlignment="1">
      <alignment horizontal="right"/>
    </xf>
    <xf numFmtId="1" fontId="5" fillId="6" borderId="6" xfId="43" applyNumberFormat="1" applyFont="1" applyFill="1" applyBorder="1" applyAlignment="1">
      <alignment horizontal="right"/>
    </xf>
    <xf numFmtId="0" fontId="3" fillId="6" borderId="0" xfId="43" applyFill="1"/>
    <xf numFmtId="4" fontId="3" fillId="6" borderId="0" xfId="43" applyNumberFormat="1" applyFill="1" applyAlignment="1">
      <alignment horizontal="right"/>
    </xf>
    <xf numFmtId="3" fontId="3" fillId="6" borderId="0" xfId="43" applyNumberFormat="1" applyFill="1" applyAlignment="1">
      <alignment horizontal="right"/>
    </xf>
    <xf numFmtId="1" fontId="5" fillId="6" borderId="0" xfId="43" applyNumberFormat="1" applyFont="1" applyFill="1" applyAlignment="1">
      <alignment horizontal="right"/>
    </xf>
    <xf numFmtId="0" fontId="3" fillId="6" borderId="3" xfId="43" applyFill="1" applyBorder="1"/>
    <xf numFmtId="0" fontId="3" fillId="6" borderId="0" xfId="43" quotePrefix="1" applyFill="1"/>
    <xf numFmtId="4" fontId="3" fillId="6" borderId="0" xfId="43" applyNumberFormat="1" applyFill="1" applyAlignment="1">
      <alignment horizontal="left"/>
    </xf>
    <xf numFmtId="0" fontId="5" fillId="6" borderId="43" xfId="43" applyFont="1" applyFill="1" applyBorder="1"/>
    <xf numFmtId="4" fontId="5" fillId="6" borderId="43" xfId="43" applyNumberFormat="1" applyFont="1" applyFill="1" applyBorder="1" applyAlignment="1">
      <alignment horizontal="right"/>
    </xf>
    <xf numFmtId="4" fontId="5" fillId="7" borderId="0" xfId="51" applyNumberFormat="1" applyFont="1" applyFill="1" applyBorder="1"/>
    <xf numFmtId="0" fontId="3" fillId="9" borderId="3" xfId="0" quotePrefix="1" applyFont="1" applyFill="1" applyBorder="1"/>
    <xf numFmtId="4" fontId="3" fillId="9" borderId="2" xfId="0" applyNumberFormat="1" applyFont="1" applyFill="1" applyBorder="1"/>
    <xf numFmtId="0" fontId="3" fillId="9" borderId="2" xfId="0" applyFont="1" applyFill="1" applyBorder="1"/>
    <xf numFmtId="0" fontId="5" fillId="9" borderId="3" xfId="0" applyFont="1" applyFill="1" applyBorder="1"/>
    <xf numFmtId="0" fontId="8" fillId="4" borderId="3" xfId="0" quotePrefix="1" applyFont="1" applyFill="1" applyBorder="1"/>
    <xf numFmtId="3" fontId="3" fillId="4" borderId="0" xfId="46" applyNumberFormat="1" applyFill="1" applyAlignment="1">
      <alignment horizontal="right"/>
    </xf>
    <xf numFmtId="3" fontId="5" fillId="4" borderId="0" xfId="46" applyNumberFormat="1" applyFont="1" applyFill="1" applyAlignment="1">
      <alignment horizontal="right"/>
    </xf>
    <xf numFmtId="3" fontId="5" fillId="4" borderId="9" xfId="46" applyNumberFormat="1" applyFont="1" applyFill="1" applyBorder="1" applyAlignment="1">
      <alignment horizontal="right"/>
    </xf>
    <xf numFmtId="3" fontId="5" fillId="4" borderId="36" xfId="35" applyNumberFormat="1" applyFont="1" applyFill="1" applyBorder="1"/>
    <xf numFmtId="0" fontId="22" fillId="4" borderId="0" xfId="35" quotePrefix="1" applyFont="1" applyFill="1" applyAlignment="1">
      <alignment horizontal="left" indent="1"/>
    </xf>
    <xf numFmtId="0" fontId="3" fillId="4" borderId="0" xfId="35" quotePrefix="1" applyFont="1" applyFill="1" applyAlignment="1">
      <alignment horizontal="left" wrapText="1"/>
    </xf>
    <xf numFmtId="0" fontId="3" fillId="4" borderId="0" xfId="35" quotePrefix="1" applyFont="1" applyFill="1" applyAlignment="1">
      <alignment horizontal="left" wrapText="1" indent="1"/>
    </xf>
    <xf numFmtId="3" fontId="3" fillId="4" borderId="0" xfId="35" quotePrefix="1" applyNumberFormat="1" applyFont="1" applyFill="1" applyAlignment="1">
      <alignment horizontal="right" wrapText="1"/>
    </xf>
    <xf numFmtId="3" fontId="5" fillId="4" borderId="36" xfId="35" quotePrefix="1" applyNumberFormat="1" applyFont="1" applyFill="1" applyBorder="1" applyAlignment="1">
      <alignment horizontal="right" wrapText="1"/>
    </xf>
    <xf numFmtId="3" fontId="5" fillId="4" borderId="0" xfId="35" applyNumberFormat="1" applyFont="1" applyFill="1"/>
    <xf numFmtId="9" fontId="3" fillId="9" borderId="0" xfId="22" applyFont="1" applyFill="1" applyBorder="1"/>
    <xf numFmtId="0" fontId="3" fillId="4" borderId="0" xfId="35" quotePrefix="1" applyFont="1" applyFill="1" applyAlignment="1">
      <alignment horizontal="left" indent="1"/>
    </xf>
    <xf numFmtId="0" fontId="3" fillId="4" borderId="0" xfId="35" applyFont="1" applyFill="1" applyAlignment="1">
      <alignment horizontal="left" indent="1"/>
    </xf>
    <xf numFmtId="0" fontId="8" fillId="4" borderId="0" xfId="35" quotePrefix="1" applyFont="1" applyFill="1"/>
    <xf numFmtId="3" fontId="3" fillId="4" borderId="0" xfId="0" applyNumberFormat="1" applyFont="1" applyFill="1"/>
    <xf numFmtId="9" fontId="3" fillId="9" borderId="0" xfId="35" applyNumberFormat="1" applyFont="1" applyFill="1"/>
    <xf numFmtId="9" fontId="50" fillId="4" borderId="36" xfId="35" applyNumberFormat="1" applyFont="1" applyFill="1" applyBorder="1"/>
    <xf numFmtId="4" fontId="5" fillId="4" borderId="4" xfId="0" applyNumberFormat="1" applyFont="1" applyFill="1" applyBorder="1" applyAlignment="1">
      <alignment horizontal="center"/>
    </xf>
    <xf numFmtId="10" fontId="3" fillId="4" borderId="4" xfId="22" applyNumberFormat="1" applyFont="1" applyFill="1" applyBorder="1" applyAlignment="1">
      <alignment horizontal="center"/>
    </xf>
    <xf numFmtId="10" fontId="5" fillId="4" borderId="4" xfId="22" applyNumberFormat="1" applyFont="1" applyFill="1" applyBorder="1" applyAlignment="1">
      <alignment horizontal="center"/>
    </xf>
    <xf numFmtId="0" fontId="0" fillId="4" borderId="2" xfId="0" applyFill="1" applyBorder="1" applyAlignment="1">
      <alignment wrapText="1"/>
    </xf>
    <xf numFmtId="0" fontId="0" fillId="4" borderId="12" xfId="0" applyFill="1" applyBorder="1" applyAlignment="1">
      <alignment wrapText="1"/>
    </xf>
    <xf numFmtId="9" fontId="3" fillId="4" borderId="36" xfId="22" applyFont="1" applyFill="1" applyBorder="1"/>
    <xf numFmtId="10" fontId="3" fillId="4" borderId="36" xfId="0" applyNumberFormat="1" applyFont="1" applyFill="1" applyBorder="1"/>
    <xf numFmtId="14" fontId="5" fillId="0" borderId="36" xfId="0" quotePrefix="1" applyNumberFormat="1" applyFont="1" applyBorder="1" applyAlignment="1">
      <alignment horizontal="right"/>
    </xf>
    <xf numFmtId="14" fontId="5" fillId="0" borderId="10" xfId="0" quotePrefix="1" applyNumberFormat="1" applyFont="1" applyBorder="1" applyAlignment="1">
      <alignment horizontal="right"/>
    </xf>
    <xf numFmtId="166" fontId="5" fillId="0" borderId="2" xfId="0" applyNumberFormat="1" applyFont="1" applyBorder="1" applyAlignment="1">
      <alignment horizontal="right"/>
    </xf>
    <xf numFmtId="166" fontId="5" fillId="0" borderId="12" xfId="0" applyNumberFormat="1" applyFont="1" applyBorder="1" applyAlignment="1">
      <alignment horizontal="right"/>
    </xf>
    <xf numFmtId="0" fontId="5" fillId="0" borderId="3" xfId="0" applyFont="1" applyBorder="1"/>
    <xf numFmtId="0" fontId="5" fillId="0" borderId="11" xfId="0" applyFont="1" applyBorder="1"/>
    <xf numFmtId="166" fontId="5" fillId="0" borderId="0" xfId="22" applyNumberFormat="1" applyFont="1" applyAlignment="1">
      <alignment horizontal="right"/>
    </xf>
    <xf numFmtId="3" fontId="5" fillId="0" borderId="0" xfId="0" applyNumberFormat="1" applyFont="1"/>
    <xf numFmtId="0" fontId="50" fillId="0" borderId="0" xfId="0" applyFont="1" applyAlignment="1">
      <alignment horizontal="right"/>
    </xf>
    <xf numFmtId="3" fontId="50" fillId="0" borderId="0" xfId="0" applyNumberFormat="1" applyFont="1" applyAlignment="1">
      <alignment horizontal="right"/>
    </xf>
    <xf numFmtId="0" fontId="3" fillId="0" borderId="0" xfId="0" applyFont="1" applyAlignment="1">
      <alignment horizontal="left" vertical="top" wrapText="1"/>
    </xf>
    <xf numFmtId="0" fontId="0" fillId="4" borderId="0" xfId="0" applyFill="1" applyAlignment="1">
      <alignment wrapText="1"/>
    </xf>
    <xf numFmtId="4" fontId="52" fillId="4" borderId="0" xfId="0" applyNumberFormat="1" applyFont="1" applyFill="1"/>
    <xf numFmtId="0" fontId="3" fillId="4" borderId="0" xfId="0" applyFont="1" applyFill="1" applyAlignment="1">
      <alignment vertical="top" wrapText="1"/>
    </xf>
    <xf numFmtId="4" fontId="5" fillId="4" borderId="0" xfId="0" applyNumberFormat="1" applyFont="1" applyFill="1" applyAlignment="1">
      <alignment horizontal="center"/>
    </xf>
    <xf numFmtId="0" fontId="8" fillId="4" borderId="11" xfId="0" quotePrefix="1" applyFont="1" applyFill="1" applyBorder="1"/>
    <xf numFmtId="0" fontId="3" fillId="4" borderId="29" xfId="0" applyFont="1" applyFill="1" applyBorder="1"/>
    <xf numFmtId="165" fontId="5" fillId="5" borderId="9" xfId="51" applyFont="1" applyFill="1" applyBorder="1" applyAlignment="1"/>
    <xf numFmtId="4" fontId="5" fillId="0" borderId="44" xfId="0" applyNumberFormat="1" applyFont="1" applyBorder="1"/>
    <xf numFmtId="0" fontId="0" fillId="9" borderId="0" xfId="0" applyFill="1"/>
    <xf numFmtId="4" fontId="0" fillId="9" borderId="0" xfId="0" applyNumberFormat="1" applyFill="1"/>
    <xf numFmtId="4" fontId="3" fillId="9" borderId="0" xfId="0" applyNumberFormat="1" applyFont="1" applyFill="1" applyAlignment="1">
      <alignment horizontal="right"/>
    </xf>
    <xf numFmtId="0" fontId="61" fillId="15" borderId="0" xfId="0" quotePrefix="1" applyFont="1" applyFill="1"/>
    <xf numFmtId="166" fontId="3" fillId="0" borderId="0" xfId="0" quotePrefix="1" applyNumberFormat="1" applyFont="1" applyAlignment="1">
      <alignment horizontal="right"/>
    </xf>
    <xf numFmtId="3" fontId="3" fillId="14" borderId="0" xfId="0" applyNumberFormat="1" applyFont="1" applyFill="1" applyAlignment="1">
      <alignment horizontal="right"/>
    </xf>
    <xf numFmtId="3" fontId="3" fillId="7" borderId="0" xfId="0" applyNumberFormat="1" applyFont="1" applyFill="1" applyAlignment="1">
      <alignment horizontal="right"/>
    </xf>
    <xf numFmtId="166" fontId="3" fillId="0" borderId="0" xfId="0" applyNumberFormat="1" applyFont="1" applyAlignment="1">
      <alignment horizontal="right"/>
    </xf>
    <xf numFmtId="3" fontId="5" fillId="14" borderId="0" xfId="0" applyNumberFormat="1" applyFont="1" applyFill="1" applyAlignment="1">
      <alignment horizontal="right"/>
    </xf>
    <xf numFmtId="3" fontId="61" fillId="15" borderId="0" xfId="0" applyNumberFormat="1" applyFont="1" applyFill="1" applyAlignment="1">
      <alignment horizontal="right"/>
    </xf>
    <xf numFmtId="3" fontId="5" fillId="0" borderId="0" xfId="0" applyNumberFormat="1" applyFont="1" applyAlignment="1">
      <alignment horizontal="right"/>
    </xf>
    <xf numFmtId="4" fontId="61" fillId="15" borderId="0" xfId="0" applyNumberFormat="1" applyFont="1" applyFill="1" applyAlignment="1">
      <alignment horizontal="right"/>
    </xf>
    <xf numFmtId="166" fontId="61" fillId="15" borderId="0" xfId="0" applyNumberFormat="1" applyFont="1" applyFill="1" applyAlignment="1">
      <alignment horizontal="right"/>
    </xf>
    <xf numFmtId="166" fontId="5" fillId="0" borderId="0" xfId="0" applyNumberFormat="1" applyFont="1" applyAlignment="1">
      <alignment horizontal="right"/>
    </xf>
    <xf numFmtId="4" fontId="32" fillId="15" borderId="0" xfId="0" applyNumberFormat="1" applyFont="1" applyFill="1" applyAlignment="1">
      <alignment horizontal="right"/>
    </xf>
    <xf numFmtId="166" fontId="32" fillId="15" borderId="0" xfId="0" applyNumberFormat="1" applyFont="1" applyFill="1" applyAlignment="1">
      <alignment horizontal="right"/>
    </xf>
    <xf numFmtId="3" fontId="61" fillId="15" borderId="0" xfId="0" quotePrefix="1" applyNumberFormat="1" applyFont="1" applyFill="1"/>
    <xf numFmtId="0" fontId="11" fillId="0" borderId="26" xfId="0" applyFont="1" applyBorder="1" applyAlignment="1">
      <alignment horizontal="center"/>
    </xf>
    <xf numFmtId="3" fontId="3" fillId="0" borderId="30" xfId="0" applyNumberFormat="1" applyFont="1" applyBorder="1" applyAlignment="1">
      <alignment horizontal="right"/>
    </xf>
    <xf numFmtId="166" fontId="3" fillId="0" borderId="31" xfId="22" applyNumberFormat="1" applyFont="1" applyFill="1" applyBorder="1" applyAlignment="1">
      <alignment horizontal="right"/>
    </xf>
    <xf numFmtId="166" fontId="61" fillId="15" borderId="0" xfId="22" quotePrefix="1" applyNumberFormat="1" applyFont="1" applyFill="1" applyBorder="1"/>
    <xf numFmtId="166" fontId="61" fillId="15" borderId="29" xfId="22" quotePrefix="1" applyNumberFormat="1" applyFont="1" applyFill="1" applyBorder="1"/>
    <xf numFmtId="3" fontId="5" fillId="4" borderId="0" xfId="35" quotePrefix="1" applyNumberFormat="1" applyFont="1" applyFill="1" applyAlignment="1">
      <alignment horizontal="right" wrapText="1"/>
    </xf>
    <xf numFmtId="0" fontId="3" fillId="4" borderId="0" xfId="35" quotePrefix="1" applyFont="1" applyFill="1" applyAlignment="1">
      <alignment horizontal="left" vertical="top" wrapText="1"/>
    </xf>
    <xf numFmtId="0" fontId="11" fillId="0" borderId="33" xfId="0" applyFont="1" applyBorder="1" applyAlignment="1">
      <alignment horizontal="center"/>
    </xf>
    <xf numFmtId="3" fontId="61" fillId="15" borderId="28" xfId="0" quotePrefix="1" applyNumberFormat="1" applyFont="1" applyFill="1" applyBorder="1"/>
    <xf numFmtId="0" fontId="3" fillId="4" borderId="0" xfId="35" quotePrefix="1" applyFont="1" applyFill="1" applyAlignment="1">
      <alignment horizontal="justify" wrapText="1"/>
    </xf>
    <xf numFmtId="0" fontId="3" fillId="4" borderId="0" xfId="35" quotePrefix="1" applyFont="1" applyFill="1" applyAlignment="1">
      <alignment horizontal="left"/>
    </xf>
    <xf numFmtId="166" fontId="61" fillId="15" borderId="0" xfId="22" quotePrefix="1" applyNumberFormat="1" applyFont="1" applyFill="1"/>
    <xf numFmtId="3" fontId="3" fillId="7" borderId="0" xfId="51" applyNumberFormat="1" applyFont="1" applyFill="1"/>
    <xf numFmtId="3" fontId="3" fillId="0" borderId="2" xfId="51" applyNumberFormat="1" applyFont="1" applyFill="1" applyBorder="1"/>
    <xf numFmtId="3" fontId="5" fillId="0" borderId="0" xfId="51" applyNumberFormat="1" applyFont="1" applyFill="1" applyAlignment="1"/>
    <xf numFmtId="3" fontId="3" fillId="7" borderId="0" xfId="43" applyNumberFormat="1" applyFill="1" applyAlignment="1">
      <alignment horizontal="right"/>
    </xf>
    <xf numFmtId="168" fontId="5" fillId="14" borderId="23" xfId="51" applyNumberFormat="1" applyFont="1" applyFill="1" applyBorder="1"/>
    <xf numFmtId="168" fontId="5" fillId="14" borderId="23" xfId="51" applyNumberFormat="1" applyFont="1" applyFill="1" applyBorder="1" applyAlignment="1"/>
    <xf numFmtId="165" fontId="3" fillId="0" borderId="36" xfId="51" applyFont="1" applyBorder="1" applyAlignment="1">
      <alignment horizontal="right"/>
    </xf>
    <xf numFmtId="168" fontId="5" fillId="5" borderId="9" xfId="51" applyNumberFormat="1" applyFont="1" applyFill="1" applyBorder="1" applyAlignment="1">
      <alignment horizontal="right"/>
    </xf>
    <xf numFmtId="0" fontId="74" fillId="16" borderId="0" xfId="0" applyFont="1" applyFill="1" applyAlignment="1">
      <alignment horizontal="center"/>
    </xf>
    <xf numFmtId="4" fontId="0" fillId="17" borderId="0" xfId="0" applyNumberFormat="1" applyFill="1"/>
    <xf numFmtId="0" fontId="75" fillId="0" borderId="0" xfId="0" applyFont="1"/>
    <xf numFmtId="4" fontId="75" fillId="0" borderId="0" xfId="0" applyNumberFormat="1" applyFont="1"/>
    <xf numFmtId="0" fontId="5" fillId="0" borderId="44" xfId="0" applyFont="1" applyBorder="1"/>
    <xf numFmtId="9" fontId="3" fillId="0" borderId="0" xfId="22" applyFont="1"/>
    <xf numFmtId="4" fontId="5" fillId="0" borderId="0" xfId="36" applyNumberFormat="1" applyFont="1" applyAlignment="1">
      <alignment horizontal="center"/>
    </xf>
    <xf numFmtId="9" fontId="3" fillId="4" borderId="0" xfId="36" applyNumberFormat="1" applyFont="1" applyFill="1" applyAlignment="1">
      <alignment horizontal="center"/>
    </xf>
    <xf numFmtId="9" fontId="3" fillId="4" borderId="0" xfId="22" applyFont="1" applyFill="1" applyAlignment="1">
      <alignment horizontal="center"/>
    </xf>
    <xf numFmtId="0" fontId="13" fillId="0" borderId="0" xfId="0" quotePrefix="1" applyFont="1"/>
    <xf numFmtId="0" fontId="3" fillId="4" borderId="4" xfId="0" quotePrefix="1" applyFont="1" applyFill="1" applyBorder="1" applyAlignment="1">
      <alignment vertical="top" wrapText="1"/>
    </xf>
    <xf numFmtId="4" fontId="60" fillId="0" borderId="0" xfId="0" applyNumberFormat="1" applyFont="1" applyAlignment="1">
      <alignment horizontal="right" vertical="center" readingOrder="1"/>
    </xf>
    <xf numFmtId="0" fontId="11" fillId="4" borderId="11" xfId="0" applyFont="1" applyFill="1" applyBorder="1" applyAlignment="1">
      <alignment vertical="center" wrapText="1"/>
    </xf>
    <xf numFmtId="0" fontId="11" fillId="0" borderId="2" xfId="0" applyFont="1" applyBorder="1" applyAlignment="1">
      <alignment vertical="center" wrapText="1"/>
    </xf>
    <xf numFmtId="0" fontId="11" fillId="0" borderId="12" xfId="0" applyFont="1" applyBorder="1" applyAlignment="1">
      <alignment vertical="center" wrapText="1"/>
    </xf>
    <xf numFmtId="0" fontId="11" fillId="4" borderId="3" xfId="0" applyFont="1" applyFill="1" applyBorder="1" applyAlignment="1">
      <alignment horizontal="left" wrapText="1"/>
    </xf>
    <xf numFmtId="0" fontId="11" fillId="4" borderId="0" xfId="0" applyFont="1" applyFill="1" applyAlignment="1">
      <alignment horizontal="left" wrapText="1"/>
    </xf>
    <xf numFmtId="0" fontId="11" fillId="4" borderId="4" xfId="0" applyFont="1" applyFill="1" applyBorder="1" applyAlignment="1">
      <alignment horizontal="left" wrapText="1"/>
    </xf>
    <xf numFmtId="0" fontId="50" fillId="4" borderId="3" xfId="0" applyFont="1" applyFill="1" applyBorder="1" applyAlignment="1">
      <alignment horizontal="left" vertical="top" wrapText="1"/>
    </xf>
    <xf numFmtId="0" fontId="50" fillId="4" borderId="0" xfId="0" applyFont="1" applyFill="1" applyAlignment="1">
      <alignment horizontal="left" vertical="top" wrapText="1"/>
    </xf>
    <xf numFmtId="0" fontId="50" fillId="4" borderId="4" xfId="0" applyFont="1" applyFill="1" applyBorder="1" applyAlignment="1">
      <alignment horizontal="left" vertical="top" wrapText="1"/>
    </xf>
    <xf numFmtId="0" fontId="3" fillId="4" borderId="3" xfId="0" applyFont="1" applyFill="1" applyBorder="1" applyAlignment="1">
      <alignment horizontal="left" vertical="top" wrapText="1"/>
    </xf>
    <xf numFmtId="0" fontId="3" fillId="4" borderId="0" xfId="0" applyFont="1" applyFill="1" applyAlignment="1">
      <alignment horizontal="left" vertical="top" wrapText="1"/>
    </xf>
    <xf numFmtId="0" fontId="3" fillId="4" borderId="4" xfId="0" applyFont="1" applyFill="1" applyBorder="1" applyAlignment="1">
      <alignment horizontal="left" vertical="top" wrapText="1"/>
    </xf>
    <xf numFmtId="2" fontId="3" fillId="4" borderId="3" xfId="0" applyNumberFormat="1" applyFont="1" applyFill="1" applyBorder="1" applyAlignment="1">
      <alignment horizontal="justify" vertical="top"/>
    </xf>
    <xf numFmtId="2" fontId="3" fillId="4" borderId="0" xfId="0" applyNumberFormat="1" applyFont="1" applyFill="1" applyAlignment="1">
      <alignment horizontal="justify" vertical="top"/>
    </xf>
    <xf numFmtId="2" fontId="3" fillId="4" borderId="4" xfId="0" applyNumberFormat="1" applyFont="1" applyFill="1" applyBorder="1" applyAlignment="1">
      <alignment horizontal="justify" vertical="top"/>
    </xf>
    <xf numFmtId="0" fontId="5" fillId="14" borderId="22" xfId="0" applyFont="1" applyFill="1" applyBorder="1" applyAlignment="1">
      <alignment horizontal="center" vertical="center"/>
    </xf>
    <xf numFmtId="0" fontId="5" fillId="14" borderId="23" xfId="0" applyFont="1" applyFill="1" applyBorder="1" applyAlignment="1">
      <alignment horizontal="center" vertical="center"/>
    </xf>
    <xf numFmtId="0" fontId="5" fillId="14" borderId="24" xfId="0" applyFont="1" applyFill="1" applyBorder="1" applyAlignment="1">
      <alignment horizontal="center" vertical="center"/>
    </xf>
    <xf numFmtId="0" fontId="10" fillId="14" borderId="22" xfId="0" applyFont="1" applyFill="1" applyBorder="1" applyAlignment="1">
      <alignment horizontal="center"/>
    </xf>
    <xf numFmtId="0" fontId="10" fillId="14" borderId="23" xfId="0" applyFont="1" applyFill="1" applyBorder="1" applyAlignment="1">
      <alignment horizontal="center"/>
    </xf>
    <xf numFmtId="0" fontId="10" fillId="14" borderId="24" xfId="0" applyFont="1" applyFill="1" applyBorder="1" applyAlignment="1">
      <alignment horizontal="center"/>
    </xf>
    <xf numFmtId="0" fontId="68" fillId="14" borderId="13" xfId="46" applyFont="1" applyFill="1" applyBorder="1" applyAlignment="1">
      <alignment horizontal="left" vertical="top" wrapText="1"/>
    </xf>
    <xf numFmtId="0" fontId="3" fillId="4" borderId="3" xfId="0" applyFont="1" applyFill="1" applyBorder="1" applyAlignment="1">
      <alignment horizontal="justify" vertical="top" wrapText="1"/>
    </xf>
    <xf numFmtId="0" fontId="3" fillId="4" borderId="0" xfId="0" applyFont="1" applyFill="1" applyAlignment="1">
      <alignment horizontal="justify" vertical="top" wrapText="1"/>
    </xf>
    <xf numFmtId="0" fontId="5" fillId="14" borderId="22" xfId="0" applyFont="1" applyFill="1" applyBorder="1" applyAlignment="1">
      <alignment horizontal="center"/>
    </xf>
    <xf numFmtId="0" fontId="5" fillId="14" borderId="23" xfId="0" applyFont="1" applyFill="1" applyBorder="1" applyAlignment="1">
      <alignment horizontal="center"/>
    </xf>
    <xf numFmtId="0" fontId="5" fillId="14" borderId="24" xfId="0" applyFont="1" applyFill="1" applyBorder="1" applyAlignment="1">
      <alignment horizontal="center"/>
    </xf>
    <xf numFmtId="0" fontId="3" fillId="4" borderId="3" xfId="0" quotePrefix="1" applyFont="1" applyFill="1" applyBorder="1" applyAlignment="1">
      <alignment horizontal="justify" wrapText="1"/>
    </xf>
    <xf numFmtId="0" fontId="3" fillId="4" borderId="0" xfId="0" quotePrefix="1" applyFont="1" applyFill="1" applyAlignment="1">
      <alignment horizontal="justify" wrapText="1"/>
    </xf>
    <xf numFmtId="0" fontId="3" fillId="4" borderId="3" xfId="0" quotePrefix="1" applyFont="1" applyFill="1" applyBorder="1" applyAlignment="1">
      <alignment horizontal="left" vertical="top" wrapText="1"/>
    </xf>
    <xf numFmtId="0" fontId="3" fillId="4" borderId="0" xfId="0" quotePrefix="1" applyFont="1" applyFill="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xf>
    <xf numFmtId="0" fontId="3" fillId="4" borderId="0" xfId="0" applyFont="1" applyFill="1" applyAlignment="1">
      <alignment horizontal="left" wrapText="1"/>
    </xf>
    <xf numFmtId="0" fontId="8" fillId="4" borderId="0" xfId="35" quotePrefix="1" applyFont="1" applyFill="1" applyAlignment="1">
      <alignment horizontal="left" vertical="center" wrapText="1"/>
    </xf>
    <xf numFmtId="14" fontId="62" fillId="15" borderId="0" xfId="0" applyNumberFormat="1" applyFont="1" applyFill="1" applyAlignment="1">
      <alignment horizontal="center"/>
    </xf>
    <xf numFmtId="0" fontId="63" fillId="15" borderId="0" xfId="0" applyFont="1" applyFill="1" applyAlignment="1">
      <alignment horizontal="center"/>
    </xf>
    <xf numFmtId="0" fontId="3" fillId="4" borderId="0" xfId="35" quotePrefix="1" applyFont="1" applyFill="1" applyAlignment="1">
      <alignment horizontal="left" wrapText="1"/>
    </xf>
    <xf numFmtId="0" fontId="3" fillId="4" borderId="0" xfId="35" quotePrefix="1" applyFont="1" applyFill="1" applyAlignment="1">
      <alignment horizontal="justify" wrapText="1"/>
    </xf>
    <xf numFmtId="0" fontId="3" fillId="4" borderId="0" xfId="35" quotePrefix="1" applyFont="1" applyFill="1" applyAlignment="1">
      <alignment horizontal="left" vertical="top" wrapText="1"/>
    </xf>
    <xf numFmtId="4" fontId="11" fillId="0" borderId="0" xfId="0" applyNumberFormat="1" applyFont="1" applyAlignment="1">
      <alignment horizontal="center"/>
    </xf>
    <xf numFmtId="0" fontId="10" fillId="0" borderId="0" xfId="0" applyFont="1" applyAlignment="1">
      <alignment horizontal="center"/>
    </xf>
    <xf numFmtId="0" fontId="73" fillId="15" borderId="0" xfId="0" applyFont="1" applyFill="1" applyAlignment="1">
      <alignment horizontal="center"/>
    </xf>
    <xf numFmtId="0" fontId="5" fillId="0" borderId="0" xfId="58" applyFont="1" applyAlignment="1">
      <alignment horizontal="center"/>
    </xf>
    <xf numFmtId="0" fontId="3" fillId="0" borderId="0" xfId="36" quotePrefix="1" applyFont="1" applyAlignment="1">
      <alignment horizontal="left" vertical="center" wrapText="1"/>
    </xf>
    <xf numFmtId="3" fontId="17" fillId="4" borderId="0" xfId="12" applyNumberFormat="1" applyFont="1" applyFill="1" applyBorder="1" applyAlignment="1" applyProtection="1">
      <alignment horizontal="right"/>
    </xf>
    <xf numFmtId="3" fontId="17" fillId="4" borderId="4" xfId="0" applyNumberFormat="1" applyFont="1" applyFill="1" applyBorder="1" applyAlignment="1">
      <alignment horizontal="right"/>
    </xf>
    <xf numFmtId="3" fontId="17" fillId="4" borderId="2" xfId="12" applyNumberFormat="1" applyFont="1" applyFill="1" applyBorder="1" applyAlignment="1" applyProtection="1">
      <alignment horizontal="right"/>
    </xf>
    <xf numFmtId="3" fontId="17" fillId="4" borderId="12" xfId="0" applyNumberFormat="1" applyFont="1" applyFill="1" applyBorder="1" applyAlignment="1">
      <alignment horizontal="right"/>
    </xf>
    <xf numFmtId="3" fontId="33" fillId="4" borderId="23" xfId="43" applyNumberFormat="1" applyFont="1" applyFill="1" applyBorder="1" applyAlignment="1">
      <alignment horizontal="right"/>
    </xf>
    <xf numFmtId="3" fontId="33" fillId="4" borderId="24" xfId="0" applyNumberFormat="1" applyFont="1" applyFill="1" applyBorder="1" applyAlignment="1">
      <alignment horizontal="right"/>
    </xf>
    <xf numFmtId="3" fontId="33" fillId="4" borderId="6" xfId="12" applyNumberFormat="1" applyFont="1" applyFill="1" applyBorder="1" applyAlignment="1" applyProtection="1">
      <alignment horizontal="right"/>
    </xf>
    <xf numFmtId="3" fontId="33" fillId="4" borderId="10" xfId="0" applyNumberFormat="1" applyFont="1" applyFill="1" applyBorder="1" applyAlignment="1">
      <alignment horizontal="right"/>
    </xf>
    <xf numFmtId="171" fontId="17" fillId="4" borderId="2" xfId="12" applyNumberFormat="1" applyFont="1" applyFill="1" applyBorder="1" applyAlignment="1" applyProtection="1">
      <alignment horizontal="right"/>
      <protection locked="0"/>
    </xf>
    <xf numFmtId="171" fontId="17" fillId="4" borderId="12" xfId="0" applyNumberFormat="1" applyFont="1" applyFill="1" applyBorder="1" applyAlignment="1" applyProtection="1">
      <alignment horizontal="right"/>
      <protection locked="0"/>
    </xf>
    <xf numFmtId="3" fontId="17" fillId="4" borderId="10" xfId="0" applyNumberFormat="1" applyFont="1" applyFill="1" applyBorder="1" applyAlignment="1">
      <alignment horizontal="right"/>
    </xf>
    <xf numFmtId="3" fontId="33" fillId="4" borderId="0" xfId="0" applyNumberFormat="1" applyFont="1" applyFill="1" applyAlignment="1">
      <alignment horizontal="right"/>
    </xf>
    <xf numFmtId="3" fontId="33" fillId="4" borderId="4" xfId="0" applyNumberFormat="1" applyFont="1" applyFill="1" applyBorder="1" applyAlignment="1">
      <alignment horizontal="right"/>
    </xf>
    <xf numFmtId="0" fontId="3" fillId="4" borderId="33" xfId="36" applyFont="1" applyFill="1" applyBorder="1" applyAlignment="1">
      <alignment horizontal="center" wrapText="1"/>
    </xf>
    <xf numFmtId="0" fontId="3" fillId="4" borderId="33" xfId="36" applyFont="1" applyFill="1" applyBorder="1" applyAlignment="1">
      <alignment horizontal="center"/>
    </xf>
    <xf numFmtId="0" fontId="3" fillId="4" borderId="9" xfId="36" applyFont="1" applyFill="1" applyBorder="1" applyAlignment="1">
      <alignment horizontal="center"/>
    </xf>
    <xf numFmtId="0" fontId="3" fillId="4" borderId="27" xfId="36" applyFont="1" applyFill="1" applyBorder="1" applyAlignment="1">
      <alignment horizontal="center" vertical="center" wrapText="1"/>
    </xf>
    <xf numFmtId="0" fontId="7" fillId="4" borderId="27" xfId="11" applyFont="1" applyFill="1" applyBorder="1" applyAlignment="1" applyProtection="1">
      <alignment horizontal="center" vertical="center" wrapText="1"/>
    </xf>
    <xf numFmtId="0" fontId="7" fillId="4" borderId="26" xfId="11" applyFont="1" applyFill="1" applyBorder="1" applyAlignment="1" applyProtection="1">
      <alignment horizontal="center" vertical="center" wrapText="1"/>
    </xf>
    <xf numFmtId="0" fontId="43" fillId="4" borderId="0" xfId="36" applyFont="1" applyFill="1" applyAlignment="1">
      <alignment horizontal="center" vertical="center" wrapText="1"/>
    </xf>
    <xf numFmtId="0" fontId="3" fillId="4" borderId="0" xfId="36" applyFont="1" applyFill="1" applyAlignment="1">
      <alignment horizontal="center" vertical="center" wrapText="1"/>
    </xf>
    <xf numFmtId="0" fontId="7" fillId="4" borderId="29" xfId="11" applyFont="1" applyFill="1" applyBorder="1" applyAlignment="1" applyProtection="1">
      <alignment horizontal="center" vertical="center" wrapText="1"/>
    </xf>
    <xf numFmtId="9" fontId="43" fillId="4" borderId="0" xfId="36" applyNumberFormat="1" applyFont="1" applyFill="1" applyAlignment="1">
      <alignment horizontal="center" vertical="center" wrapText="1"/>
    </xf>
    <xf numFmtId="0" fontId="3" fillId="4" borderId="29" xfId="36" applyFont="1" applyFill="1" applyBorder="1" applyAlignment="1">
      <alignment horizontal="center" vertical="center" wrapText="1"/>
    </xf>
    <xf numFmtId="10" fontId="3" fillId="0" borderId="32" xfId="36" applyNumberFormat="1" applyFont="1" applyBorder="1" applyAlignment="1">
      <alignment horizontal="center" vertical="center" wrapText="1"/>
    </xf>
    <xf numFmtId="0" fontId="3" fillId="0" borderId="32" xfId="36" applyFont="1" applyBorder="1" applyAlignment="1">
      <alignment horizontal="center" vertical="center" wrapText="1"/>
    </xf>
    <xf numFmtId="0" fontId="3" fillId="0" borderId="31" xfId="36" applyFont="1" applyBorder="1" applyAlignment="1">
      <alignment horizontal="center" vertical="center" wrapText="1"/>
    </xf>
    <xf numFmtId="0" fontId="3" fillId="4" borderId="32" xfId="36" applyFont="1" applyFill="1" applyBorder="1" applyAlignment="1">
      <alignment horizontal="center" vertical="center" wrapText="1"/>
    </xf>
    <xf numFmtId="0" fontId="3" fillId="4" borderId="31" xfId="36" applyFont="1" applyFill="1" applyBorder="1" applyAlignment="1">
      <alignment horizontal="center" vertical="center" wrapText="1"/>
    </xf>
  </cellXfs>
  <cellStyles count="63">
    <cellStyle name="Comma 3" xfId="51" xr:uid="{00000000-0005-0000-0000-000000000000}"/>
    <cellStyle name="Euro" xfId="1" xr:uid="{00000000-0005-0000-0000-000001000000}"/>
    <cellStyle name="Euro 2" xfId="2" xr:uid="{00000000-0005-0000-0000-000002000000}"/>
    <cellStyle name="Euro 2 2" xfId="3" xr:uid="{00000000-0005-0000-0000-000003000000}"/>
    <cellStyle name="Euro 2 2 2" xfId="4" xr:uid="{00000000-0005-0000-0000-000004000000}"/>
    <cellStyle name="Euro 2 3" xfId="5" xr:uid="{00000000-0005-0000-0000-000005000000}"/>
    <cellStyle name="Euro 3" xfId="6" xr:uid="{00000000-0005-0000-0000-000006000000}"/>
    <cellStyle name="Euro 4" xfId="7" xr:uid="{00000000-0005-0000-0000-000007000000}"/>
    <cellStyle name="Euro 4 2" xfId="8" xr:uid="{00000000-0005-0000-0000-000008000000}"/>
    <cellStyle name="Euro 4 3" xfId="9" xr:uid="{00000000-0005-0000-0000-000009000000}"/>
    <cellStyle name="Euro 5" xfId="10" xr:uid="{00000000-0005-0000-0000-00000A000000}"/>
    <cellStyle name="Hyperlink 2" xfId="11" xr:uid="{00000000-0005-0000-0000-00000B000000}"/>
    <cellStyle name="Komma" xfId="12" builtinId="3"/>
    <cellStyle name="Komma 2" xfId="13" xr:uid="{00000000-0005-0000-0000-00000D000000}"/>
    <cellStyle name="Komma 2 2" xfId="45" xr:uid="{00000000-0005-0000-0000-00000E000000}"/>
    <cellStyle name="Komma 3" xfId="14" xr:uid="{00000000-0005-0000-0000-00000F000000}"/>
    <cellStyle name="Komma 4" xfId="15" xr:uid="{00000000-0005-0000-0000-000010000000}"/>
    <cellStyle name="Komma 4 2" xfId="16" xr:uid="{00000000-0005-0000-0000-000011000000}"/>
    <cellStyle name="Komma 5" xfId="17" xr:uid="{00000000-0005-0000-0000-000012000000}"/>
    <cellStyle name="Komma 6" xfId="18" xr:uid="{00000000-0005-0000-0000-000013000000}"/>
    <cellStyle name="Komma 6 2" xfId="19" xr:uid="{00000000-0005-0000-0000-000014000000}"/>
    <cellStyle name="Komma 6 3" xfId="20" xr:uid="{00000000-0005-0000-0000-000015000000}"/>
    <cellStyle name="Komma 7" xfId="21" xr:uid="{00000000-0005-0000-0000-000016000000}"/>
    <cellStyle name="Komma 8" xfId="44" xr:uid="{00000000-0005-0000-0000-000017000000}"/>
    <cellStyle name="Normal 2" xfId="43" xr:uid="{00000000-0005-0000-0000-000018000000}"/>
    <cellStyle name="Normal 2 2" xfId="47" xr:uid="{00000000-0005-0000-0000-000019000000}"/>
    <cellStyle name="Normal 3" xfId="53" xr:uid="{00000000-0005-0000-0000-00001A000000}"/>
    <cellStyle name="Normal 4" xfId="60" xr:uid="{00000000-0005-0000-0000-00001B000000}"/>
    <cellStyle name="Procent" xfId="22" builtinId="5"/>
    <cellStyle name="Procent 2" xfId="23" xr:uid="{00000000-0005-0000-0000-00001D000000}"/>
    <cellStyle name="Procent 2 2" xfId="59" xr:uid="{00000000-0005-0000-0000-00001E000000}"/>
    <cellStyle name="Procent 3" xfId="24" xr:uid="{00000000-0005-0000-0000-00001F000000}"/>
    <cellStyle name="Procent 4" xfId="25" xr:uid="{00000000-0005-0000-0000-000020000000}"/>
    <cellStyle name="Procent 4 2" xfId="26" xr:uid="{00000000-0005-0000-0000-000021000000}"/>
    <cellStyle name="Procent 5" xfId="27" xr:uid="{00000000-0005-0000-0000-000022000000}"/>
    <cellStyle name="Procent 6" xfId="28" xr:uid="{00000000-0005-0000-0000-000023000000}"/>
    <cellStyle name="Procent 6 2" xfId="29" xr:uid="{00000000-0005-0000-0000-000024000000}"/>
    <cellStyle name="Procent 6 3" xfId="30" xr:uid="{00000000-0005-0000-0000-000025000000}"/>
    <cellStyle name="Procent 7" xfId="31" xr:uid="{00000000-0005-0000-0000-000026000000}"/>
    <cellStyle name="Procent 8" xfId="32" xr:uid="{00000000-0005-0000-0000-000027000000}"/>
    <cellStyle name="Procent 9" xfId="48" xr:uid="{00000000-0005-0000-0000-000028000000}"/>
    <cellStyle name="rf5" xfId="55" xr:uid="{00000000-0005-0000-0000-000029000000}"/>
    <cellStyle name="rf7" xfId="56" xr:uid="{00000000-0005-0000-0000-00002A000000}"/>
    <cellStyle name="rf8" xfId="57" xr:uid="{00000000-0005-0000-0000-00002B000000}"/>
    <cellStyle name="Standaard" xfId="0" builtinId="0"/>
    <cellStyle name="Standaard 2" xfId="33" xr:uid="{00000000-0005-0000-0000-00002D000000}"/>
    <cellStyle name="Standaard 2 2" xfId="34" xr:uid="{00000000-0005-0000-0000-00002E000000}"/>
    <cellStyle name="Standaard 2 3" xfId="58" xr:uid="{00000000-0005-0000-0000-00002F000000}"/>
    <cellStyle name="Standaard 2 4" xfId="61" xr:uid="{00000000-0005-0000-0000-000030000000}"/>
    <cellStyle name="Standaard 3" xfId="35" xr:uid="{00000000-0005-0000-0000-000031000000}"/>
    <cellStyle name="Standaard 3 2" xfId="62" xr:uid="{00000000-0005-0000-0000-000032000000}"/>
    <cellStyle name="Standaard 4" xfId="36" xr:uid="{00000000-0005-0000-0000-000033000000}"/>
    <cellStyle name="Standaard 5" xfId="37" xr:uid="{00000000-0005-0000-0000-000034000000}"/>
    <cellStyle name="Standaard 5 2" xfId="38" xr:uid="{00000000-0005-0000-0000-000035000000}"/>
    <cellStyle name="Standaard 5 3" xfId="39" xr:uid="{00000000-0005-0000-0000-000036000000}"/>
    <cellStyle name="Standaard 6" xfId="40" xr:uid="{00000000-0005-0000-0000-000037000000}"/>
    <cellStyle name="Standaard 7" xfId="41" xr:uid="{00000000-0005-0000-0000-000038000000}"/>
    <cellStyle name="Standaard 8" xfId="46" xr:uid="{00000000-0005-0000-0000-000039000000}"/>
    <cellStyle name="Standaard_Financial analysis DTF (BEF)  import" xfId="42" xr:uid="{00000000-0005-0000-0000-00003A000000}"/>
    <cellStyle name="Table Snip" xfId="49" xr:uid="{00000000-0005-0000-0000-00003B000000}"/>
    <cellStyle name="Table Snip 2" xfId="52" xr:uid="{00000000-0005-0000-0000-00003C000000}"/>
    <cellStyle name="Table Snip 3" xfId="54" xr:uid="{00000000-0005-0000-0000-00003D000000}"/>
    <cellStyle name="Valuta" xfId="50"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42" Type="http://schemas.openxmlformats.org/officeDocument/2006/relationships/sharedStrings" Target="sharedStrings.xml"/><Relationship Id="rId47" Type="http://schemas.openxmlformats.org/officeDocument/2006/relationships/customXml" Target="../customXml/item4.xml"/><Relationship Id="rId6" Type="http://schemas.openxmlformats.org/officeDocument/2006/relationships/worksheet" Target="worksheets/sheet6.xml"/><Relationship Id="rId11" Type="http://schemas.openxmlformats.org/officeDocument/2006/relationships/worksheet" Target="worksheets/sheet11.xml"/><Relationship Id="rId40" Type="http://schemas.openxmlformats.org/officeDocument/2006/relationships/theme" Target="theme/theme1.xml"/><Relationship Id="rId5" Type="http://schemas.openxmlformats.org/officeDocument/2006/relationships/worksheet" Target="worksheets/sheet5.xml"/><Relationship Id="rId28" Type="http://schemas.openxmlformats.org/officeDocument/2006/relationships/worksheet" Target="worksheets/sheet28.xml"/><Relationship Id="rId44" Type="http://schemas.openxmlformats.org/officeDocument/2006/relationships/customXml" Target="../customXml/item1.xml"/><Relationship Id="rId4" Type="http://schemas.openxmlformats.org/officeDocument/2006/relationships/worksheet" Target="worksheets/sheet4.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12" Type="http://schemas.openxmlformats.org/officeDocument/2006/relationships/worksheet" Target="worksheets/sheet12.xml"/><Relationship Id="rId25" Type="http://schemas.openxmlformats.org/officeDocument/2006/relationships/worksheet" Target="worksheets/sheet25.xml"/><Relationship Id="rId46" Type="http://schemas.openxmlformats.org/officeDocument/2006/relationships/customXml" Target="../customXml/item3.xml"/><Relationship Id="rId41"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9525</xdr:colOff>
      <xdr:row>56</xdr:row>
      <xdr:rowOff>104775</xdr:rowOff>
    </xdr:from>
    <xdr:to>
      <xdr:col>4</xdr:col>
      <xdr:colOff>342900</xdr:colOff>
      <xdr:row>66</xdr:row>
      <xdr:rowOff>57150</xdr:rowOff>
    </xdr:to>
    <xdr:cxnSp macro="">
      <xdr:nvCxnSpPr>
        <xdr:cNvPr id="3" name="Rechte verbindingslijn met pijl 2">
          <a:extLst>
            <a:ext uri="{FF2B5EF4-FFF2-40B4-BE49-F238E27FC236}">
              <a16:creationId xmlns:a16="http://schemas.microsoft.com/office/drawing/2014/main" id="{00000000-0008-0000-0400-000003000000}"/>
            </a:ext>
          </a:extLst>
        </xdr:cNvPr>
        <xdr:cNvCxnSpPr/>
      </xdr:nvCxnSpPr>
      <xdr:spPr>
        <a:xfrm>
          <a:off x="5476875" y="8296275"/>
          <a:ext cx="333375" cy="15716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22860</xdr:colOff>
      <xdr:row>66</xdr:row>
      <xdr:rowOff>96078</xdr:rowOff>
    </xdr:from>
    <xdr:to>
      <xdr:col>4</xdr:col>
      <xdr:colOff>335280</xdr:colOff>
      <xdr:row>66</xdr:row>
      <xdr:rowOff>103698</xdr:rowOff>
    </xdr:to>
    <xdr:cxnSp macro="">
      <xdr:nvCxnSpPr>
        <xdr:cNvPr id="5" name="Rechte verbindingslijn met pijl 4">
          <a:extLst>
            <a:ext uri="{FF2B5EF4-FFF2-40B4-BE49-F238E27FC236}">
              <a16:creationId xmlns:a16="http://schemas.microsoft.com/office/drawing/2014/main" id="{00000000-0008-0000-0400-000005000000}"/>
            </a:ext>
          </a:extLst>
        </xdr:cNvPr>
        <xdr:cNvCxnSpPr/>
      </xdr:nvCxnSpPr>
      <xdr:spPr>
        <a:xfrm flipV="1">
          <a:off x="5900199" y="11479695"/>
          <a:ext cx="312420"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66</xdr:row>
      <xdr:rowOff>85725</xdr:rowOff>
    </xdr:from>
    <xdr:to>
      <xdr:col>4</xdr:col>
      <xdr:colOff>323850</xdr:colOff>
      <xdr:row>71</xdr:row>
      <xdr:rowOff>114300</xdr:rowOff>
    </xdr:to>
    <xdr:cxnSp macro="">
      <xdr:nvCxnSpPr>
        <xdr:cNvPr id="7" name="Rechte verbindingslijn met pijl 6">
          <a:extLst>
            <a:ext uri="{FF2B5EF4-FFF2-40B4-BE49-F238E27FC236}">
              <a16:creationId xmlns:a16="http://schemas.microsoft.com/office/drawing/2014/main" id="{00000000-0008-0000-0400-000007000000}"/>
            </a:ext>
          </a:extLst>
        </xdr:cNvPr>
        <xdr:cNvCxnSpPr/>
      </xdr:nvCxnSpPr>
      <xdr:spPr>
        <a:xfrm flipV="1">
          <a:off x="5467350" y="9896475"/>
          <a:ext cx="323850" cy="8382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28</xdr:row>
      <xdr:rowOff>9525</xdr:rowOff>
    </xdr:from>
    <xdr:to>
      <xdr:col>3</xdr:col>
      <xdr:colOff>491963</xdr:colOff>
      <xdr:row>46</xdr:row>
      <xdr:rowOff>59327</xdr:rowOff>
    </xdr:to>
    <xdr:pic>
      <xdr:nvPicPr>
        <xdr:cNvPr id="2" name="Afbeelding 1">
          <a:extLst>
            <a:ext uri="{FF2B5EF4-FFF2-40B4-BE49-F238E27FC236}">
              <a16:creationId xmlns:a16="http://schemas.microsoft.com/office/drawing/2014/main" id="{F5D1AB08-131B-9A85-CDDF-38F5FBF67E76}"/>
            </a:ext>
          </a:extLst>
        </xdr:cNvPr>
        <xdr:cNvPicPr>
          <a:picLocks noChangeAspect="1"/>
        </xdr:cNvPicPr>
      </xdr:nvPicPr>
      <xdr:blipFill>
        <a:blip xmlns:r="http://schemas.openxmlformats.org/officeDocument/2006/relationships" r:embed="rId1"/>
        <a:stretch>
          <a:fillRect/>
        </a:stretch>
      </xdr:blipFill>
      <xdr:spPr>
        <a:xfrm>
          <a:off x="76200" y="4638675"/>
          <a:ext cx="5464013" cy="314352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2.bin"/><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customProperty" Target="../customProperty22.bin"/><Relationship Id="rId2" Type="http://schemas.openxmlformats.org/officeDocument/2006/relationships/printerSettings" Target="../printerSettings/printerSettings14.bin"/><Relationship Id="rId1" Type="http://schemas.openxmlformats.org/officeDocument/2006/relationships/hyperlink" Target="http://stat.nbb.be/Index.aspx?DataSetCode=IRTRCERT&amp;lang=nl" TargetMode="External"/><Relationship Id="rId4" Type="http://schemas.openxmlformats.org/officeDocument/2006/relationships/vmlDrawing" Target="../drawings/vmlDrawing1.vml"/></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7.bin"/><Relationship Id="rId1" Type="http://schemas.openxmlformats.org/officeDocument/2006/relationships/printerSettings" Target="../printerSettings/printerSettings18.bin"/></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1">
    <tabColor rgb="FF00B050"/>
  </sheetPr>
  <dimension ref="A1:G159"/>
  <sheetViews>
    <sheetView topLeftCell="A54" zoomScaleNormal="100" zoomScaleSheetLayoutView="100" workbookViewId="0">
      <selection activeCell="J15" sqref="J15"/>
    </sheetView>
  </sheetViews>
  <sheetFormatPr defaultColWidth="9.109375" defaultRowHeight="13.2" x14ac:dyDescent="0.25"/>
  <cols>
    <col min="1" max="1" width="25.5546875" style="3" customWidth="1"/>
    <col min="2" max="2" width="28.5546875" style="3" customWidth="1"/>
    <col min="3" max="3" width="17.88671875" style="3" customWidth="1"/>
    <col min="4" max="4" width="23.88671875" style="14" customWidth="1"/>
    <col min="5" max="5" width="9.44140625" style="3" bestFit="1" customWidth="1"/>
    <col min="6" max="16384" width="9.109375" style="3"/>
  </cols>
  <sheetData>
    <row r="1" spans="1:4" ht="27.6" customHeight="1" x14ac:dyDescent="0.25">
      <c r="A1" s="856" t="s">
        <v>0</v>
      </c>
      <c r="B1" s="857"/>
      <c r="C1" s="857"/>
      <c r="D1" s="858"/>
    </row>
    <row r="2" spans="1:4" x14ac:dyDescent="0.25">
      <c r="A2" s="432" t="s">
        <v>1</v>
      </c>
      <c r="B2" s="578"/>
      <c r="C2" s="436"/>
      <c r="D2" s="433"/>
    </row>
    <row r="3" spans="1:4" x14ac:dyDescent="0.25">
      <c r="A3" s="432" t="s">
        <v>2</v>
      </c>
      <c r="B3" s="578"/>
      <c r="C3" s="436"/>
      <c r="D3" s="433"/>
    </row>
    <row r="4" spans="1:4" x14ac:dyDescent="0.25">
      <c r="A4" s="579" t="s">
        <v>3</v>
      </c>
      <c r="B4" s="578"/>
      <c r="C4" s="436"/>
      <c r="D4" s="433"/>
    </row>
    <row r="5" spans="1:4" x14ac:dyDescent="0.25">
      <c r="A5" s="432"/>
      <c r="B5" s="578"/>
      <c r="C5" s="436"/>
      <c r="D5" s="433"/>
    </row>
    <row r="6" spans="1:4" x14ac:dyDescent="0.25">
      <c r="A6" s="431" t="s">
        <v>4</v>
      </c>
      <c r="B6" s="578"/>
      <c r="C6" s="436"/>
      <c r="D6" s="433"/>
    </row>
    <row r="7" spans="1:4" x14ac:dyDescent="0.25">
      <c r="A7" s="432"/>
      <c r="B7" s="578"/>
      <c r="C7" s="436"/>
      <c r="D7" s="433"/>
    </row>
    <row r="8" spans="1:4" x14ac:dyDescent="0.25">
      <c r="A8" s="859" t="s">
        <v>5</v>
      </c>
      <c r="B8" s="860"/>
      <c r="C8" s="860"/>
      <c r="D8" s="861"/>
    </row>
    <row r="9" spans="1:4" x14ac:dyDescent="0.25">
      <c r="A9" s="432"/>
      <c r="B9" s="408"/>
      <c r="C9" s="408"/>
      <c r="D9" s="433"/>
    </row>
    <row r="10" spans="1:4" ht="13.2" customHeight="1" x14ac:dyDescent="0.25">
      <c r="A10" s="850" t="s">
        <v>6</v>
      </c>
      <c r="B10" s="851"/>
      <c r="C10" s="851"/>
      <c r="D10" s="852"/>
    </row>
    <row r="11" spans="1:4" x14ac:dyDescent="0.25">
      <c r="A11" s="850"/>
      <c r="B11" s="851"/>
      <c r="C11" s="851"/>
      <c r="D11" s="852"/>
    </row>
    <row r="12" spans="1:4" x14ac:dyDescent="0.25">
      <c r="A12" s="850"/>
      <c r="B12" s="851"/>
      <c r="C12" s="851"/>
      <c r="D12" s="852"/>
    </row>
    <row r="13" spans="1:4" x14ac:dyDescent="0.25">
      <c r="A13" s="850"/>
      <c r="B13" s="851"/>
      <c r="C13" s="851"/>
      <c r="D13" s="852"/>
    </row>
    <row r="14" spans="1:4" x14ac:dyDescent="0.25">
      <c r="A14" s="850"/>
      <c r="B14" s="851"/>
      <c r="C14" s="851"/>
      <c r="D14" s="852"/>
    </row>
    <row r="15" spans="1:4" x14ac:dyDescent="0.25">
      <c r="A15" s="432" t="s">
        <v>7</v>
      </c>
      <c r="B15" s="408"/>
      <c r="C15" s="408"/>
      <c r="D15" s="433"/>
    </row>
    <row r="16" spans="1:4" x14ac:dyDescent="0.25">
      <c r="A16" s="432" t="s">
        <v>8</v>
      </c>
      <c r="B16" s="408"/>
      <c r="C16" s="408"/>
      <c r="D16" s="433"/>
    </row>
    <row r="17" spans="1:4" x14ac:dyDescent="0.25">
      <c r="A17" s="432" t="s">
        <v>9</v>
      </c>
      <c r="B17" s="408"/>
      <c r="C17" s="408"/>
      <c r="D17" s="433"/>
    </row>
    <row r="18" spans="1:4" hidden="1" x14ac:dyDescent="0.25">
      <c r="A18" s="432" t="s">
        <v>10</v>
      </c>
      <c r="B18" s="408"/>
      <c r="C18" s="408"/>
      <c r="D18" s="433"/>
    </row>
    <row r="19" spans="1:4" x14ac:dyDescent="0.25">
      <c r="A19" s="432"/>
      <c r="B19" s="408"/>
      <c r="C19" s="408"/>
      <c r="D19" s="433"/>
    </row>
    <row r="20" spans="1:4" ht="13.35" customHeight="1" x14ac:dyDescent="0.25">
      <c r="A20" s="850" t="s">
        <v>11</v>
      </c>
      <c r="B20" s="851"/>
      <c r="C20" s="851"/>
      <c r="D20" s="852"/>
    </row>
    <row r="21" spans="1:4" ht="13.35" customHeight="1" x14ac:dyDescent="0.25">
      <c r="A21" s="850"/>
      <c r="B21" s="851"/>
      <c r="C21" s="851"/>
      <c r="D21" s="852"/>
    </row>
    <row r="22" spans="1:4" ht="13.35" customHeight="1" x14ac:dyDescent="0.25">
      <c r="A22" s="850"/>
      <c r="B22" s="851"/>
      <c r="C22" s="851"/>
      <c r="D22" s="852"/>
    </row>
    <row r="23" spans="1:4" x14ac:dyDescent="0.25">
      <c r="A23" s="850"/>
      <c r="B23" s="851"/>
      <c r="C23" s="851"/>
      <c r="D23" s="852"/>
    </row>
    <row r="24" spans="1:4" x14ac:dyDescent="0.25">
      <c r="A24" s="581"/>
      <c r="B24" s="582"/>
      <c r="C24" s="582"/>
      <c r="D24" s="583"/>
    </row>
    <row r="25" spans="1:4" ht="13.35" customHeight="1" x14ac:dyDescent="0.25">
      <c r="A25" s="850" t="s">
        <v>12</v>
      </c>
      <c r="B25" s="851"/>
      <c r="C25" s="851"/>
      <c r="D25" s="852"/>
    </row>
    <row r="26" spans="1:4" ht="13.35" customHeight="1" x14ac:dyDescent="0.25">
      <c r="A26" s="850"/>
      <c r="B26" s="851"/>
      <c r="C26" s="851"/>
      <c r="D26" s="852"/>
    </row>
    <row r="27" spans="1:4" ht="13.35" customHeight="1" x14ac:dyDescent="0.25">
      <c r="A27" s="850"/>
      <c r="B27" s="851"/>
      <c r="C27" s="851"/>
      <c r="D27" s="852"/>
    </row>
    <row r="28" spans="1:4" x14ac:dyDescent="0.25">
      <c r="A28" s="581"/>
      <c r="B28" s="582"/>
      <c r="C28" s="582"/>
      <c r="D28" s="583"/>
    </row>
    <row r="29" spans="1:4" ht="13.35" customHeight="1" x14ac:dyDescent="0.25">
      <c r="A29" s="850" t="s">
        <v>13</v>
      </c>
      <c r="B29" s="851"/>
      <c r="C29" s="851"/>
      <c r="D29" s="852"/>
    </row>
    <row r="30" spans="1:4" x14ac:dyDescent="0.25">
      <c r="A30" s="850"/>
      <c r="B30" s="851"/>
      <c r="C30" s="851"/>
      <c r="D30" s="852"/>
    </row>
    <row r="31" spans="1:4" x14ac:dyDescent="0.25">
      <c r="A31" s="850"/>
      <c r="B31" s="851"/>
      <c r="C31" s="851"/>
      <c r="D31" s="852"/>
    </row>
    <row r="32" spans="1:4" x14ac:dyDescent="0.25">
      <c r="A32" s="432"/>
      <c r="B32" s="408"/>
      <c r="C32" s="408"/>
      <c r="D32" s="433"/>
    </row>
    <row r="33" spans="1:4" hidden="1" x14ac:dyDescent="0.25">
      <c r="A33" s="432" t="s">
        <v>14</v>
      </c>
      <c r="B33" s="408"/>
      <c r="C33" s="408"/>
      <c r="D33" s="433"/>
    </row>
    <row r="34" spans="1:4" hidden="1" x14ac:dyDescent="0.25">
      <c r="A34" s="432" t="s">
        <v>15</v>
      </c>
      <c r="B34" s="408"/>
      <c r="C34" s="408"/>
      <c r="D34" s="433"/>
    </row>
    <row r="35" spans="1:4" hidden="1" x14ac:dyDescent="0.25">
      <c r="A35" s="432" t="s">
        <v>16</v>
      </c>
      <c r="B35" s="408"/>
      <c r="C35" s="408"/>
      <c r="D35" s="433"/>
    </row>
    <row r="36" spans="1:4" hidden="1" x14ac:dyDescent="0.25">
      <c r="A36" s="432" t="s">
        <v>17</v>
      </c>
      <c r="B36" s="408"/>
      <c r="C36" s="408"/>
      <c r="D36" s="433"/>
    </row>
    <row r="37" spans="1:4" x14ac:dyDescent="0.25">
      <c r="A37" s="850" t="s">
        <v>18</v>
      </c>
      <c r="B37" s="851"/>
      <c r="C37" s="851"/>
      <c r="D37" s="852"/>
    </row>
    <row r="38" spans="1:4" x14ac:dyDescent="0.25">
      <c r="A38" s="850"/>
      <c r="B38" s="851"/>
      <c r="C38" s="851"/>
      <c r="D38" s="852"/>
    </row>
    <row r="39" spans="1:4" x14ac:dyDescent="0.25">
      <c r="A39" s="432"/>
      <c r="B39" s="408"/>
      <c r="C39" s="408"/>
      <c r="D39" s="433"/>
    </row>
    <row r="40" spans="1:4" hidden="1" x14ac:dyDescent="0.25">
      <c r="A40" s="847" t="s">
        <v>19</v>
      </c>
      <c r="B40" s="848"/>
      <c r="C40" s="848"/>
      <c r="D40" s="849"/>
    </row>
    <row r="41" spans="1:4" hidden="1" x14ac:dyDescent="0.25">
      <c r="A41" s="847"/>
      <c r="B41" s="848"/>
      <c r="C41" s="848"/>
      <c r="D41" s="849"/>
    </row>
    <row r="42" spans="1:4" hidden="1" x14ac:dyDescent="0.25">
      <c r="A42" s="847"/>
      <c r="B42" s="848"/>
      <c r="C42" s="848"/>
      <c r="D42" s="849"/>
    </row>
    <row r="43" spans="1:4" hidden="1" x14ac:dyDescent="0.25">
      <c r="A43" s="847"/>
      <c r="B43" s="848"/>
      <c r="C43" s="848"/>
      <c r="D43" s="849"/>
    </row>
    <row r="44" spans="1:4" hidden="1" x14ac:dyDescent="0.25">
      <c r="A44" s="847"/>
      <c r="B44" s="848"/>
      <c r="C44" s="848"/>
      <c r="D44" s="849"/>
    </row>
    <row r="45" spans="1:4" x14ac:dyDescent="0.25">
      <c r="A45" s="850" t="s">
        <v>20</v>
      </c>
      <c r="B45" s="851"/>
      <c r="C45" s="851"/>
      <c r="D45" s="852"/>
    </row>
    <row r="46" spans="1:4" x14ac:dyDescent="0.25">
      <c r="A46" s="850"/>
      <c r="B46" s="851"/>
      <c r="C46" s="851"/>
      <c r="D46" s="852"/>
    </row>
    <row r="47" spans="1:4" x14ac:dyDescent="0.25">
      <c r="A47" s="850"/>
      <c r="B47" s="851"/>
      <c r="C47" s="851"/>
      <c r="D47" s="852"/>
    </row>
    <row r="48" spans="1:4" x14ac:dyDescent="0.25">
      <c r="A48" s="432"/>
      <c r="B48" s="408"/>
      <c r="C48" s="408"/>
      <c r="D48" s="433"/>
    </row>
    <row r="49" spans="1:4" x14ac:dyDescent="0.25">
      <c r="A49" s="850" t="s">
        <v>21</v>
      </c>
      <c r="B49" s="851"/>
      <c r="C49" s="851"/>
      <c r="D49" s="852"/>
    </row>
    <row r="50" spans="1:4" x14ac:dyDescent="0.25">
      <c r="A50" s="850"/>
      <c r="B50" s="851"/>
      <c r="C50" s="851"/>
      <c r="D50" s="852"/>
    </row>
    <row r="51" spans="1:4" x14ac:dyDescent="0.25">
      <c r="A51" s="850"/>
      <c r="B51" s="851"/>
      <c r="C51" s="851"/>
      <c r="D51" s="852"/>
    </row>
    <row r="52" spans="1:4" x14ac:dyDescent="0.25">
      <c r="A52" s="850"/>
      <c r="B52" s="851"/>
      <c r="C52" s="851"/>
      <c r="D52" s="852"/>
    </row>
    <row r="53" spans="1:4" x14ac:dyDescent="0.25">
      <c r="A53" s="432"/>
      <c r="B53" s="408"/>
      <c r="C53" s="408"/>
      <c r="D53" s="433"/>
    </row>
    <row r="54" spans="1:4" x14ac:dyDescent="0.25">
      <c r="A54" s="850" t="s">
        <v>22</v>
      </c>
      <c r="B54" s="851"/>
      <c r="C54" s="851"/>
      <c r="D54" s="852"/>
    </row>
    <row r="55" spans="1:4" x14ac:dyDescent="0.25">
      <c r="A55" s="850"/>
      <c r="B55" s="851"/>
      <c r="C55" s="851"/>
      <c r="D55" s="852"/>
    </row>
    <row r="56" spans="1:4" x14ac:dyDescent="0.25">
      <c r="A56" s="850"/>
      <c r="B56" s="851"/>
      <c r="C56" s="851"/>
      <c r="D56" s="852"/>
    </row>
    <row r="57" spans="1:4" x14ac:dyDescent="0.25">
      <c r="A57" s="850"/>
      <c r="B57" s="851"/>
      <c r="C57" s="851"/>
      <c r="D57" s="852"/>
    </row>
    <row r="58" spans="1:4" ht="12.75" customHeight="1" x14ac:dyDescent="0.25">
      <c r="A58" s="853" t="s">
        <v>23</v>
      </c>
      <c r="B58" s="854"/>
      <c r="C58" s="854"/>
      <c r="D58" s="855"/>
    </row>
    <row r="59" spans="1:4" ht="12.75" customHeight="1" x14ac:dyDescent="0.25">
      <c r="A59" s="853"/>
      <c r="B59" s="854"/>
      <c r="C59" s="854"/>
      <c r="D59" s="855"/>
    </row>
    <row r="60" spans="1:4" ht="16.350000000000001" customHeight="1" x14ac:dyDescent="0.25">
      <c r="A60" s="853"/>
      <c r="B60" s="854"/>
      <c r="C60" s="854"/>
      <c r="D60" s="855"/>
    </row>
    <row r="61" spans="1:4" x14ac:dyDescent="0.25">
      <c r="A61" s="853" t="s">
        <v>24</v>
      </c>
      <c r="B61" s="854"/>
      <c r="C61" s="854"/>
      <c r="D61" s="855"/>
    </row>
    <row r="62" spans="1:4" x14ac:dyDescent="0.25">
      <c r="A62" s="853"/>
      <c r="B62" s="854"/>
      <c r="C62" s="854"/>
      <c r="D62" s="855"/>
    </row>
    <row r="63" spans="1:4" x14ac:dyDescent="0.25">
      <c r="A63" s="432"/>
      <c r="B63" s="408"/>
      <c r="C63" s="408"/>
      <c r="D63" s="433"/>
    </row>
    <row r="64" spans="1:4" x14ac:dyDescent="0.25">
      <c r="A64" s="432" t="s">
        <v>25</v>
      </c>
      <c r="B64" s="408"/>
      <c r="C64" s="408"/>
      <c r="D64" s="433"/>
    </row>
    <row r="65" spans="1:7" x14ac:dyDescent="0.25">
      <c r="A65" s="432" t="s">
        <v>26</v>
      </c>
      <c r="B65" s="408"/>
      <c r="C65" s="408"/>
      <c r="D65" s="433"/>
    </row>
    <row r="66" spans="1:7" x14ac:dyDescent="0.25">
      <c r="A66" s="432"/>
      <c r="B66" s="408"/>
      <c r="C66" s="408"/>
      <c r="D66" s="433"/>
    </row>
    <row r="67" spans="1:7" x14ac:dyDescent="0.25">
      <c r="A67" s="432" t="s">
        <v>27</v>
      </c>
      <c r="B67" s="408"/>
      <c r="C67" s="408"/>
      <c r="D67" s="433"/>
    </row>
    <row r="68" spans="1:7" x14ac:dyDescent="0.25">
      <c r="A68" s="432" t="s">
        <v>28</v>
      </c>
      <c r="B68" s="408"/>
      <c r="C68" s="408"/>
      <c r="D68" s="433"/>
    </row>
    <row r="69" spans="1:7" x14ac:dyDescent="0.25">
      <c r="A69" s="432"/>
      <c r="B69" s="408"/>
      <c r="C69" s="408"/>
      <c r="D69" s="433"/>
    </row>
    <row r="70" spans="1:7" hidden="1" x14ac:dyDescent="0.25">
      <c r="A70" s="231"/>
      <c r="B70" s="27"/>
      <c r="C70" s="27"/>
      <c r="D70" s="575"/>
    </row>
    <row r="71" spans="1:7" hidden="1" x14ac:dyDescent="0.25">
      <c r="A71" s="231"/>
      <c r="B71" s="27"/>
      <c r="C71" s="27"/>
      <c r="D71" s="575"/>
    </row>
    <row r="72" spans="1:7" hidden="1" x14ac:dyDescent="0.25">
      <c r="A72" s="231"/>
      <c r="B72" s="27"/>
      <c r="C72" s="27"/>
      <c r="D72" s="575"/>
    </row>
    <row r="73" spans="1:7" hidden="1" x14ac:dyDescent="0.25">
      <c r="A73" s="231"/>
      <c r="B73" s="27"/>
      <c r="C73" s="27"/>
      <c r="D73" s="575"/>
    </row>
    <row r="74" spans="1:7" hidden="1" x14ac:dyDescent="0.25">
      <c r="A74" s="231"/>
      <c r="B74" s="27"/>
      <c r="C74" s="27"/>
      <c r="D74" s="575"/>
    </row>
    <row r="75" spans="1:7" x14ac:dyDescent="0.25">
      <c r="A75" s="560" t="s">
        <v>29</v>
      </c>
      <c r="B75" s="561">
        <f>'substantiële waarde'!C14</f>
        <v>0.0</v>
      </c>
      <c r="C75" s="562" t="s">
        <v>30</v>
      </c>
      <c r="D75" s="570">
        <f>B75*1/3</f>
        <v>0.0</v>
      </c>
    </row>
    <row r="76" spans="1:7" x14ac:dyDescent="0.25">
      <c r="A76" s="563" t="s">
        <v>31</v>
      </c>
      <c r="B76" s="564">
        <f>Rendementswaarde!C15</f>
        <v>0.0</v>
      </c>
      <c r="C76" s="565" t="s">
        <v>30</v>
      </c>
      <c r="D76" s="571">
        <f>B76*1/3</f>
        <v>0.0</v>
      </c>
    </row>
    <row r="77" spans="1:7" x14ac:dyDescent="0.25">
      <c r="A77" s="563" t="s">
        <v>32</v>
      </c>
      <c r="B77" s="564">
        <f>'Marktwaarde '!D27</f>
        <v>0.0</v>
      </c>
      <c r="C77" s="565" t="s">
        <v>30</v>
      </c>
      <c r="D77" s="571">
        <f>B77*1/3</f>
        <v>0.0</v>
      </c>
    </row>
    <row r="78" spans="1:7" hidden="1" x14ac:dyDescent="0.25">
      <c r="A78" s="563" t="s">
        <v>33</v>
      </c>
      <c r="B78" s="564">
        <v>0</v>
      </c>
      <c r="C78" s="565" t="s">
        <v>34</v>
      </c>
      <c r="D78" s="571">
        <f>B78*1/4</f>
        <v>0.0</v>
      </c>
    </row>
    <row r="79" spans="1:7" x14ac:dyDescent="0.25">
      <c r="A79" s="563"/>
      <c r="B79" s="565"/>
      <c r="C79" s="565"/>
      <c r="D79" s="572"/>
      <c r="E79" s="27"/>
      <c r="F79" s="27"/>
      <c r="G79" s="27"/>
    </row>
    <row r="80" spans="1:7" s="6" customFormat="1" ht="17.25" customHeight="1" x14ac:dyDescent="0.25">
      <c r="A80" s="566" t="str">
        <f>"Waarde 100% aandelen "&amp;A1</f>
        <v>Waarde 100% aandelen [NAAM VENNOOTSCHAP]</v>
      </c>
      <c r="B80" s="567"/>
      <c r="C80" s="567"/>
      <c r="D80" s="573">
        <f>SUM(D75:D77)</f>
        <v>0.0</v>
      </c>
      <c r="E80" s="181"/>
      <c r="F80" s="15"/>
      <c r="G80" s="16"/>
    </row>
    <row r="81" spans="1:7" x14ac:dyDescent="0.25">
      <c r="A81" s="563"/>
      <c r="B81" s="565"/>
      <c r="C81" s="565"/>
      <c r="D81" s="574"/>
      <c r="E81" s="27"/>
      <c r="F81" s="27"/>
      <c r="G81" s="27"/>
    </row>
    <row r="82" spans="1:7" s="5" customFormat="1" ht="17.25" customHeight="1" x14ac:dyDescent="0.25">
      <c r="A82" s="568" t="s">
        <v>35</v>
      </c>
      <c r="B82" s="569"/>
      <c r="C82" s="569"/>
      <c r="D82" s="17">
        <f>ROUND(D80,-3)</f>
        <v>0.0</v>
      </c>
    </row>
    <row r="83" spans="1:7" s="5" customFormat="1" ht="17.25" customHeight="1" x14ac:dyDescent="0.25">
      <c r="A83" s="584"/>
      <c r="B83" s="585"/>
      <c r="C83" s="586"/>
      <c r="D83" s="587"/>
    </row>
    <row r="84" spans="1:7" hidden="1" x14ac:dyDescent="0.25">
      <c r="A84" s="576"/>
      <c r="B84" s="434"/>
      <c r="C84" s="434"/>
      <c r="D84" s="577"/>
      <c r="E84" s="27"/>
      <c r="F84" s="27"/>
      <c r="G84" s="27"/>
    </row>
    <row r="85" spans="1:7" hidden="1" x14ac:dyDescent="0.25">
      <c r="A85" s="576"/>
      <c r="B85" s="434"/>
      <c r="C85" s="434"/>
      <c r="D85" s="577"/>
      <c r="E85" s="27"/>
      <c r="F85" s="27"/>
      <c r="G85" s="27"/>
    </row>
    <row r="86" spans="1:7" hidden="1" x14ac:dyDescent="0.25">
      <c r="A86" s="576"/>
      <c r="B86" s="434"/>
      <c r="C86" s="434"/>
      <c r="D86" s="577"/>
      <c r="E86" s="27"/>
      <c r="F86" s="27"/>
      <c r="G86" s="27"/>
    </row>
    <row r="87" spans="1:7" hidden="1" x14ac:dyDescent="0.25">
      <c r="A87" s="576"/>
      <c r="B87" s="434"/>
      <c r="C87" s="434"/>
      <c r="D87" s="577"/>
      <c r="E87" s="27"/>
      <c r="F87" s="27"/>
      <c r="G87" s="27"/>
    </row>
    <row r="88" spans="1:7" hidden="1" x14ac:dyDescent="0.25">
      <c r="A88" s="576"/>
      <c r="B88" s="434"/>
      <c r="C88" s="434"/>
      <c r="D88" s="577"/>
      <c r="E88" s="27"/>
      <c r="F88" s="27"/>
      <c r="G88" s="27"/>
    </row>
    <row r="89" spans="1:7" hidden="1" x14ac:dyDescent="0.25">
      <c r="A89" s="576"/>
      <c r="B89" s="434"/>
      <c r="C89" s="434"/>
      <c r="D89" s="577"/>
      <c r="E89" s="27"/>
      <c r="F89" s="27"/>
      <c r="G89" s="27"/>
    </row>
    <row r="90" spans="1:7" hidden="1" x14ac:dyDescent="0.25">
      <c r="A90" s="99"/>
      <c r="B90" s="408"/>
      <c r="C90" s="408"/>
      <c r="D90" s="433"/>
      <c r="E90" s="27"/>
      <c r="F90" s="27"/>
      <c r="G90" s="27"/>
    </row>
    <row r="91" spans="1:7" hidden="1" x14ac:dyDescent="0.25">
      <c r="A91" s="99" t="s">
        <v>36</v>
      </c>
      <c r="B91" s="430"/>
      <c r="C91" s="430"/>
      <c r="D91" s="588"/>
      <c r="E91" s="27"/>
      <c r="F91" s="27"/>
      <c r="G91" s="27"/>
    </row>
    <row r="92" spans="1:7" hidden="1" x14ac:dyDescent="0.25">
      <c r="A92" s="99" t="s">
        <v>37</v>
      </c>
      <c r="B92" s="430"/>
      <c r="C92" s="430"/>
      <c r="D92" s="588"/>
      <c r="E92" s="27"/>
      <c r="F92" s="27"/>
      <c r="G92" s="27"/>
    </row>
    <row r="93" spans="1:7" hidden="1" x14ac:dyDescent="0.25">
      <c r="A93" s="589"/>
      <c r="B93" s="408"/>
      <c r="C93" s="408"/>
      <c r="D93" s="433"/>
      <c r="E93" s="27"/>
      <c r="F93" s="27"/>
      <c r="G93" s="27"/>
    </row>
    <row r="94" spans="1:7" ht="3.75" customHeight="1" x14ac:dyDescent="0.25">
      <c r="A94" s="432"/>
      <c r="B94" s="408"/>
      <c r="C94" s="408"/>
      <c r="D94" s="433"/>
      <c r="E94" s="27"/>
    </row>
    <row r="95" spans="1:7" x14ac:dyDescent="0.25">
      <c r="A95" s="590" t="s">
        <v>38</v>
      </c>
      <c r="B95" s="408"/>
      <c r="C95" s="408"/>
      <c r="D95" s="433"/>
      <c r="E95" s="27"/>
    </row>
    <row r="96" spans="1:7" x14ac:dyDescent="0.25">
      <c r="A96" s="590"/>
      <c r="B96" s="408"/>
      <c r="C96" s="408"/>
      <c r="D96" s="433"/>
      <c r="E96" s="27"/>
    </row>
    <row r="97" spans="1:5" x14ac:dyDescent="0.25">
      <c r="A97" s="844" t="s">
        <v>39</v>
      </c>
      <c r="B97" s="845"/>
      <c r="C97" s="845"/>
      <c r="D97" s="846"/>
    </row>
    <row r="98" spans="1:5" x14ac:dyDescent="0.25">
      <c r="A98" s="844"/>
      <c r="B98" s="845"/>
      <c r="C98" s="845"/>
      <c r="D98" s="846"/>
    </row>
    <row r="99" spans="1:5" ht="4.95" customHeight="1" x14ac:dyDescent="0.25">
      <c r="A99" s="99"/>
      <c r="B99" s="408"/>
      <c r="C99" s="408"/>
      <c r="D99" s="433"/>
    </row>
    <row r="100" spans="1:5" x14ac:dyDescent="0.25">
      <c r="A100" s="99" t="s">
        <v>40</v>
      </c>
      <c r="B100" s="408"/>
      <c r="C100" s="408"/>
      <c r="D100" s="433"/>
      <c r="E100" s="27"/>
    </row>
    <row r="101" spans="1:5" ht="4.95" customHeight="1" x14ac:dyDescent="0.25">
      <c r="A101" s="576"/>
      <c r="B101" s="434"/>
      <c r="C101" s="434"/>
      <c r="D101" s="577"/>
    </row>
    <row r="102" spans="1:5" x14ac:dyDescent="0.25">
      <c r="A102" s="99" t="s">
        <v>41</v>
      </c>
      <c r="B102" s="434"/>
      <c r="C102" s="434"/>
      <c r="D102" s="577"/>
    </row>
    <row r="103" spans="1:5" x14ac:dyDescent="0.25">
      <c r="A103" s="841"/>
      <c r="B103" s="842"/>
      <c r="C103" s="842"/>
      <c r="D103" s="843"/>
    </row>
    <row r="159" spans="2:2" x14ac:dyDescent="0.25">
      <c r="B159" s="68" t="s">
        <v>42</v>
      </c>
    </row>
  </sheetData>
  <mergeCells count="15">
    <mergeCell ref="A1:D1"/>
    <mergeCell ref="A20:D23"/>
    <mergeCell ref="A25:D27"/>
    <mergeCell ref="A29:D31"/>
    <mergeCell ref="A37:D38"/>
    <mergeCell ref="A8:D8"/>
    <mergeCell ref="A10:D14"/>
    <mergeCell ref="A103:D103"/>
    <mergeCell ref="A97:D98"/>
    <mergeCell ref="A40:D44"/>
    <mergeCell ref="A45:D47"/>
    <mergeCell ref="A49:D52"/>
    <mergeCell ref="A54:D57"/>
    <mergeCell ref="A58:D60"/>
    <mergeCell ref="A61:D62"/>
  </mergeCells>
  <phoneticPr fontId="4" type="noConversion"/>
  <pageMargins left="0.59055118110236227" right="0.59055118110236227" top="0.59055118110236227" bottom="0.59055118110236227" header="0.51181102362204722" footer="0.51181102362204722"/>
  <pageSetup paperSize="9" scale="73" orientation="portrait" horizontalDpi="1200" verticalDpi="1200" r:id="rId1"/>
  <headerFooter alignWithMargins="0">
    <oddFooter>&amp;C&amp;F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1:G35"/>
  <sheetViews>
    <sheetView topLeftCell="A10" workbookViewId="0">
      <selection activeCell="B12" sqref="B12"/>
    </sheetView>
  </sheetViews>
  <sheetFormatPr defaultColWidth="8.6640625" defaultRowHeight="13.2" x14ac:dyDescent="0.25"/>
  <cols>
    <col min="1" max="1" width="1.6640625" style="153" customWidth="1"/>
    <col min="2" max="2" width="75.44140625" style="153" customWidth="1"/>
    <col min="3" max="3" width="3.5546875" style="153" customWidth="1"/>
    <col min="4" max="4" width="72.5546875" style="153" customWidth="1"/>
    <col min="5" max="16384" width="8.6640625" style="153"/>
  </cols>
  <sheetData>
    <row r="1" spans="2:7" ht="17.399999999999999" x14ac:dyDescent="0.3">
      <c r="B1" s="536" t="str">
        <f>"SWOT analyse voor bepaling waarde aandelen "&amp;'weerhouden waarde'!A1</f>
        <v>SWOT analyse voor bepaling waarde aandelen [NAAM VENNOOTSCHAP]</v>
      </c>
      <c r="C1" s="537"/>
      <c r="D1" s="514"/>
      <c r="E1" s="514"/>
      <c r="F1" s="514"/>
      <c r="G1" s="514"/>
    </row>
    <row r="2" spans="2:7" x14ac:dyDescent="0.25">
      <c r="B2" s="514"/>
      <c r="C2" s="514"/>
      <c r="D2" s="514"/>
      <c r="E2" s="514"/>
      <c r="F2" s="514"/>
      <c r="G2" s="514"/>
    </row>
    <row r="3" spans="2:7" ht="13.8" thickBot="1" x14ac:dyDescent="0.3">
      <c r="B3" s="514"/>
      <c r="C3" s="514"/>
      <c r="D3" s="514"/>
      <c r="E3" s="514"/>
      <c r="F3" s="514"/>
      <c r="G3" s="514"/>
    </row>
    <row r="4" spans="2:7" s="541" customFormat="1" ht="14.4" thickBot="1" x14ac:dyDescent="0.3">
      <c r="B4" s="538" t="s">
        <v>43</v>
      </c>
      <c r="C4" s="539"/>
      <c r="D4" s="538" t="s">
        <v>44</v>
      </c>
      <c r="E4" s="540"/>
      <c r="F4" s="540"/>
      <c r="G4" s="540"/>
    </row>
    <row r="5" spans="2:7" ht="13.8" thickBot="1" x14ac:dyDescent="0.3">
      <c r="B5" s="542"/>
      <c r="C5" s="542"/>
      <c r="D5" s="542"/>
      <c r="E5" s="514"/>
      <c r="F5" s="514"/>
      <c r="G5" s="514"/>
    </row>
    <row r="6" spans="2:7" ht="28.2" customHeight="1" x14ac:dyDescent="0.25">
      <c r="B6" s="660"/>
      <c r="C6" s="543"/>
      <c r="D6" s="620"/>
      <c r="E6" s="514"/>
      <c r="F6" s="514"/>
      <c r="G6" s="514"/>
    </row>
    <row r="7" spans="2:7" ht="41.4" x14ac:dyDescent="0.25">
      <c r="B7" s="621"/>
      <c r="C7" s="543"/>
      <c r="D7" s="622"/>
      <c r="E7" s="514"/>
      <c r="F7" s="514"/>
      <c r="G7" s="514"/>
    </row>
    <row r="8" spans="2:7" ht="27.6" x14ac:dyDescent="0.25">
      <c r="B8" s="623"/>
      <c r="C8" s="543"/>
      <c r="D8" s="622"/>
      <c r="E8" s="514"/>
      <c r="F8" s="514"/>
      <c r="G8" s="514"/>
    </row>
    <row r="9" spans="2:7" ht="27.6" x14ac:dyDescent="0.25">
      <c r="B9" s="623"/>
      <c r="C9" s="543"/>
      <c r="D9" s="661"/>
      <c r="E9" s="514"/>
      <c r="F9" s="514"/>
      <c r="G9" s="514"/>
    </row>
    <row r="10" spans="2:7" ht="41.4" x14ac:dyDescent="0.25">
      <c r="B10" s="621"/>
      <c r="C10" s="543"/>
      <c r="D10" s="544"/>
      <c r="E10" s="514"/>
      <c r="F10" s="514"/>
      <c r="G10" s="514"/>
    </row>
    <row r="11" spans="2:7" ht="27.6" x14ac:dyDescent="0.25">
      <c r="B11" s="621"/>
      <c r="C11" s="543"/>
      <c r="D11" s="544"/>
      <c r="E11" s="514"/>
      <c r="F11" s="514"/>
      <c r="G11" s="514"/>
    </row>
    <row r="12" spans="2:7" ht="29.4" customHeight="1" x14ac:dyDescent="0.25">
      <c r="B12" s="659"/>
      <c r="C12" s="543"/>
      <c r="D12" s="544"/>
      <c r="E12" s="514"/>
      <c r="F12" s="514"/>
      <c r="G12" s="514"/>
    </row>
    <row r="13" spans="2:7" ht="13.8" x14ac:dyDescent="0.25">
      <c r="B13" s="545"/>
      <c r="C13" s="543"/>
      <c r="D13" s="544"/>
      <c r="E13" s="514"/>
      <c r="F13" s="514"/>
      <c r="G13" s="514"/>
    </row>
    <row r="14" spans="2:7" ht="13.8" x14ac:dyDescent="0.25">
      <c r="B14" s="545"/>
      <c r="C14" s="543"/>
      <c r="D14" s="544"/>
      <c r="E14" s="514"/>
      <c r="F14" s="514"/>
      <c r="G14" s="514"/>
    </row>
    <row r="15" spans="2:7" ht="13.8" x14ac:dyDescent="0.25">
      <c r="B15" s="545"/>
      <c r="C15" s="543"/>
      <c r="D15" s="544"/>
      <c r="E15" s="514"/>
      <c r="F15" s="514"/>
      <c r="G15" s="514"/>
    </row>
    <row r="16" spans="2:7" ht="19.2" customHeight="1" thickBot="1" x14ac:dyDescent="0.3">
      <c r="B16" s="546"/>
      <c r="C16" s="547"/>
      <c r="D16" s="548"/>
      <c r="E16" s="514"/>
      <c r="F16" s="514"/>
      <c r="G16" s="514"/>
    </row>
    <row r="17" spans="2:7" ht="14.4" thickBot="1" x14ac:dyDescent="0.3">
      <c r="B17" s="549"/>
      <c r="C17" s="547"/>
      <c r="D17" s="550"/>
      <c r="E17" s="514"/>
      <c r="F17" s="514"/>
      <c r="G17" s="514"/>
    </row>
    <row r="18" spans="2:7" s="541" customFormat="1" ht="14.4" thickBot="1" x14ac:dyDescent="0.3">
      <c r="B18" s="551" t="s">
        <v>45</v>
      </c>
      <c r="C18" s="552"/>
      <c r="D18" s="551" t="s">
        <v>46</v>
      </c>
      <c r="E18" s="540"/>
      <c r="F18" s="540"/>
      <c r="G18" s="540"/>
    </row>
    <row r="19" spans="2:7" ht="14.4" thickBot="1" x14ac:dyDescent="0.3">
      <c r="B19" s="553"/>
      <c r="C19" s="553"/>
      <c r="D19" s="553"/>
      <c r="E19" s="514"/>
      <c r="F19" s="514"/>
      <c r="G19" s="514"/>
    </row>
    <row r="20" spans="2:7" ht="27.6" x14ac:dyDescent="0.25">
      <c r="B20" s="624"/>
      <c r="C20" s="543"/>
      <c r="D20" s="624"/>
      <c r="E20" s="514"/>
      <c r="F20" s="514"/>
      <c r="G20" s="514"/>
    </row>
    <row r="21" spans="2:7" ht="27.6" x14ac:dyDescent="0.25">
      <c r="B21" s="625"/>
      <c r="C21" s="543"/>
      <c r="D21" s="554"/>
      <c r="E21" s="514"/>
      <c r="F21" s="514"/>
      <c r="G21" s="514"/>
    </row>
    <row r="22" spans="2:7" ht="27.6" customHeight="1" x14ac:dyDescent="0.25">
      <c r="B22" s="862"/>
      <c r="C22" s="543"/>
      <c r="D22" s="554"/>
      <c r="E22" s="514"/>
      <c r="F22" s="514"/>
      <c r="G22" s="514"/>
    </row>
    <row r="23" spans="2:7" ht="13.8" x14ac:dyDescent="0.25">
      <c r="B23" s="862"/>
      <c r="C23" s="543"/>
      <c r="D23" s="554"/>
      <c r="E23" s="514"/>
      <c r="F23" s="514"/>
      <c r="G23" s="514"/>
    </row>
    <row r="24" spans="2:7" ht="13.8" x14ac:dyDescent="0.25">
      <c r="B24" s="862"/>
      <c r="C24" s="543"/>
      <c r="D24" s="554"/>
      <c r="E24" s="514"/>
      <c r="F24" s="514"/>
      <c r="G24" s="514"/>
    </row>
    <row r="25" spans="2:7" ht="13.8" x14ac:dyDescent="0.25">
      <c r="B25" s="862"/>
      <c r="C25" s="543"/>
      <c r="D25" s="554"/>
      <c r="E25" s="514"/>
      <c r="F25" s="514"/>
      <c r="G25" s="514"/>
    </row>
    <row r="26" spans="2:7" ht="13.8" x14ac:dyDescent="0.25">
      <c r="B26" s="555"/>
      <c r="C26" s="543"/>
      <c r="D26" s="554"/>
      <c r="E26" s="514"/>
      <c r="F26" s="514"/>
      <c r="G26" s="514"/>
    </row>
    <row r="27" spans="2:7" ht="27.6" x14ac:dyDescent="0.25">
      <c r="B27" s="658"/>
      <c r="C27" s="543"/>
      <c r="D27" s="554"/>
      <c r="E27" s="514"/>
      <c r="F27" s="514"/>
      <c r="G27" s="514"/>
    </row>
    <row r="28" spans="2:7" ht="13.8" x14ac:dyDescent="0.25">
      <c r="B28" s="555"/>
      <c r="C28" s="543"/>
      <c r="D28" s="554"/>
      <c r="E28" s="514"/>
      <c r="F28" s="514"/>
      <c r="G28" s="514"/>
    </row>
    <row r="29" spans="2:7" ht="13.8" x14ac:dyDescent="0.25">
      <c r="B29" s="555"/>
      <c r="C29" s="543"/>
      <c r="D29" s="554"/>
      <c r="E29" s="514"/>
      <c r="F29" s="514"/>
      <c r="G29" s="514"/>
    </row>
    <row r="30" spans="2:7" ht="13.8" x14ac:dyDescent="0.25">
      <c r="B30" s="555"/>
      <c r="C30" s="543"/>
      <c r="D30" s="554"/>
      <c r="E30" s="514"/>
      <c r="F30" s="514"/>
      <c r="G30" s="514"/>
    </row>
    <row r="31" spans="2:7" ht="18.600000000000001" customHeight="1" thickBot="1" x14ac:dyDescent="0.3">
      <c r="B31" s="556"/>
      <c r="C31" s="543"/>
      <c r="D31" s="557"/>
      <c r="E31" s="514"/>
      <c r="F31" s="514"/>
      <c r="G31" s="514"/>
    </row>
    <row r="32" spans="2:7" x14ac:dyDescent="0.25">
      <c r="B32" s="558"/>
      <c r="C32" s="558"/>
      <c r="D32" s="558"/>
    </row>
    <row r="34" spans="2:2" ht="13.8" x14ac:dyDescent="0.25">
      <c r="B34" s="626"/>
    </row>
    <row r="35" spans="2:2" ht="13.8" x14ac:dyDescent="0.25">
      <c r="B35" s="559"/>
    </row>
  </sheetData>
  <mergeCells count="2">
    <mergeCell ref="B22:B23"/>
    <mergeCell ref="B24:B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2">
    <tabColor rgb="FF00B050"/>
  </sheetPr>
  <dimension ref="A1:F99"/>
  <sheetViews>
    <sheetView zoomScaleNormal="100" zoomScaleSheetLayoutView="100" workbookViewId="0">
      <selection activeCell="K21" sqref="K21"/>
    </sheetView>
  </sheetViews>
  <sheetFormatPr defaultColWidth="9.109375" defaultRowHeight="13.2" x14ac:dyDescent="0.25"/>
  <cols>
    <col min="1" max="1" width="30.5546875" style="3" customWidth="1"/>
    <col min="2" max="4" width="12.5546875" style="3" customWidth="1"/>
    <col min="5" max="16384" width="9.109375" style="3"/>
  </cols>
  <sheetData>
    <row r="1" spans="1:6" x14ac:dyDescent="0.25">
      <c r="A1" s="592" t="str">
        <f>'weerhouden waarde'!A1</f>
        <v>[NAAM VENNOOTSCHAP]</v>
      </c>
      <c r="B1" s="578"/>
      <c r="C1" s="436"/>
      <c r="D1" s="436"/>
      <c r="E1" s="434"/>
      <c r="F1" s="434"/>
    </row>
    <row r="2" spans="1:6" x14ac:dyDescent="0.25">
      <c r="A2" s="408"/>
      <c r="B2" s="578"/>
      <c r="C2" s="436"/>
      <c r="D2" s="436"/>
      <c r="E2" s="434"/>
      <c r="F2" s="434"/>
    </row>
    <row r="3" spans="1:6" x14ac:dyDescent="0.25">
      <c r="A3" s="408"/>
      <c r="B3" s="578"/>
      <c r="C3" s="436"/>
      <c r="D3" s="436"/>
      <c r="E3" s="434"/>
      <c r="F3" s="434"/>
    </row>
    <row r="4" spans="1:6" x14ac:dyDescent="0.25">
      <c r="A4" s="408" t="str">
        <f>'weerhouden waarde'!A6</f>
        <v>Toestand op [afsluitdatum] (afsluitdatum)</v>
      </c>
      <c r="B4" s="578"/>
      <c r="C4" s="436"/>
      <c r="D4" s="436"/>
      <c r="E4" s="434"/>
      <c r="F4" s="434"/>
    </row>
    <row r="5" spans="1:6" x14ac:dyDescent="0.25">
      <c r="A5" s="408"/>
      <c r="B5" s="578"/>
      <c r="C5" s="436"/>
      <c r="D5" s="436"/>
      <c r="E5" s="434"/>
      <c r="F5" s="434"/>
    </row>
    <row r="6" spans="1:6" x14ac:dyDescent="0.25">
      <c r="A6" s="408"/>
      <c r="B6" s="578"/>
      <c r="C6" s="436"/>
      <c r="D6" s="436"/>
      <c r="E6" s="434"/>
      <c r="F6" s="434"/>
    </row>
    <row r="7" spans="1:6" x14ac:dyDescent="0.25">
      <c r="A7" s="591" t="s">
        <v>47</v>
      </c>
      <c r="B7" s="408"/>
      <c r="C7" s="408"/>
      <c r="D7" s="408"/>
      <c r="E7" s="434"/>
      <c r="F7" s="434"/>
    </row>
    <row r="8" spans="1:6" x14ac:dyDescent="0.25">
      <c r="A8" s="591"/>
      <c r="B8" s="408"/>
      <c r="C8" s="408"/>
      <c r="D8" s="408"/>
      <c r="E8" s="434"/>
      <c r="F8" s="434"/>
    </row>
    <row r="9" spans="1:6" x14ac:dyDescent="0.25">
      <c r="A9" s="408"/>
      <c r="B9" s="408"/>
      <c r="C9" s="408"/>
      <c r="D9" s="408"/>
      <c r="E9" s="434"/>
      <c r="F9" s="434"/>
    </row>
    <row r="10" spans="1:6" x14ac:dyDescent="0.25">
      <c r="A10" s="408" t="s">
        <v>48</v>
      </c>
      <c r="B10" s="436">
        <f>ROUND('gecorrigeerd eigen vermogen'!E44,-3)</f>
        <v>0.0</v>
      </c>
      <c r="C10" s="408"/>
      <c r="D10" s="408"/>
      <c r="E10" s="434"/>
      <c r="F10" s="434"/>
    </row>
    <row r="11" spans="1:6" x14ac:dyDescent="0.25">
      <c r="A11" s="408" t="s">
        <v>49</v>
      </c>
      <c r="B11" s="436">
        <f>Goodwill!D22</f>
        <v>0.0</v>
      </c>
      <c r="C11" s="408"/>
      <c r="D11" s="408"/>
      <c r="E11" s="434"/>
      <c r="F11" s="434"/>
    </row>
    <row r="12" spans="1:6" x14ac:dyDescent="0.25">
      <c r="A12" s="408"/>
      <c r="B12" s="408"/>
      <c r="C12" s="408"/>
      <c r="D12" s="408"/>
      <c r="E12" s="434"/>
      <c r="F12" s="434"/>
    </row>
    <row r="13" spans="1:6" x14ac:dyDescent="0.25">
      <c r="A13" s="408"/>
      <c r="B13" s="408"/>
      <c r="C13" s="408"/>
      <c r="D13" s="408"/>
      <c r="E13" s="434"/>
      <c r="F13" s="434"/>
    </row>
    <row r="14" spans="1:6" x14ac:dyDescent="0.25">
      <c r="A14" s="592" t="s">
        <v>50</v>
      </c>
      <c r="B14" s="592"/>
      <c r="C14" s="593">
        <f>B11+B10</f>
        <v>0.0</v>
      </c>
      <c r="D14" s="408"/>
      <c r="E14" s="434"/>
      <c r="F14" s="434"/>
    </row>
    <row r="15" spans="1:6" x14ac:dyDescent="0.25">
      <c r="A15" s="408"/>
      <c r="B15" s="408"/>
      <c r="C15" s="408"/>
      <c r="D15" s="408"/>
      <c r="E15" s="434"/>
      <c r="F15" s="434"/>
    </row>
    <row r="16" spans="1:6" x14ac:dyDescent="0.25">
      <c r="A16" s="27"/>
      <c r="B16" s="27"/>
      <c r="C16" s="27"/>
      <c r="D16" s="27"/>
    </row>
    <row r="40" spans="2:3" x14ac:dyDescent="0.25">
      <c r="B40" s="68"/>
      <c r="C40" s="27" t="s">
        <v>51</v>
      </c>
    </row>
    <row r="99" spans="2:2" x14ac:dyDescent="0.25">
      <c r="B99" s="68"/>
    </row>
  </sheetData>
  <phoneticPr fontId="4" type="noConversion"/>
  <pageMargins left="0.59055118110236227" right="0.59055118110236227" top="0.59055118110236227" bottom="0.59055118110236227" header="0.51181102362204722" footer="0.51181102362204722"/>
  <pageSetup paperSize="9" orientation="portrait" r:id="rId1"/>
  <headerFooter alignWithMargins="0">
    <oddFooter>&amp;C&amp;F</oddFooter>
  </headerFooter>
  <customProperties>
    <customPr name="OrphanNamesChecke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3">
    <tabColor rgb="FF00B050"/>
    <pageSetUpPr fitToPage="1"/>
  </sheetPr>
  <dimension ref="A1:K158"/>
  <sheetViews>
    <sheetView view="pageBreakPreview" topLeftCell="A10" zoomScaleNormal="100" zoomScaleSheetLayoutView="100" workbookViewId="0">
      <selection activeCell="C32" sqref="C32"/>
    </sheetView>
  </sheetViews>
  <sheetFormatPr defaultColWidth="9.109375" defaultRowHeight="13.2" x14ac:dyDescent="0.25"/>
  <cols>
    <col min="1" max="1" width="11" style="27" customWidth="1"/>
    <col min="2" max="2" width="45.44140625" style="27" customWidth="1"/>
    <col min="3" max="3" width="11.44140625" style="27" customWidth="1"/>
    <col min="4" max="4" width="13.44140625" style="64" customWidth="1"/>
    <col min="5" max="5" width="14.5546875" style="64" customWidth="1"/>
    <col min="6" max="6" width="18.5546875" style="27" customWidth="1"/>
    <col min="7" max="7" width="14.5546875" style="27" bestFit="1" customWidth="1"/>
    <col min="8" max="8" width="11.5546875" style="64" bestFit="1" customWidth="1"/>
    <col min="9" max="16384" width="9.109375" style="27"/>
  </cols>
  <sheetData>
    <row r="1" spans="1:6" x14ac:dyDescent="0.25">
      <c r="A1" s="591" t="str">
        <f>'weerhouden waarde'!A1</f>
        <v>[NAAM VENNOOTSCHAP]</v>
      </c>
      <c r="B1" s="592"/>
      <c r="C1" s="592"/>
      <c r="D1" s="436"/>
      <c r="E1" s="436"/>
      <c r="F1" s="408"/>
    </row>
    <row r="2" spans="1:6" x14ac:dyDescent="0.25">
      <c r="A2" s="408"/>
      <c r="B2" s="408"/>
      <c r="C2" s="408"/>
      <c r="D2" s="436"/>
      <c r="E2" s="436"/>
      <c r="F2" s="408"/>
    </row>
    <row r="3" spans="1:6" x14ac:dyDescent="0.25">
      <c r="A3" s="408"/>
      <c r="B3" s="408"/>
      <c r="C3" s="408"/>
      <c r="D3" s="436"/>
      <c r="E3" s="436"/>
      <c r="F3" s="408"/>
    </row>
    <row r="4" spans="1:6" x14ac:dyDescent="0.25">
      <c r="A4" s="865" t="str">
        <f>'weerhouden waarde'!A6</f>
        <v>Toestand op [afsluitdatum] (afsluitdatum)</v>
      </c>
      <c r="B4" s="866"/>
      <c r="C4" s="866"/>
      <c r="D4" s="866"/>
      <c r="E4" s="866"/>
      <c r="F4" s="867"/>
    </row>
    <row r="5" spans="1:6" x14ac:dyDescent="0.25">
      <c r="A5" s="432"/>
      <c r="B5" s="408"/>
      <c r="C5" s="408"/>
      <c r="D5" s="436"/>
      <c r="E5" s="436"/>
      <c r="F5" s="595"/>
    </row>
    <row r="6" spans="1:6" x14ac:dyDescent="0.25">
      <c r="A6" s="432"/>
      <c r="B6" s="408"/>
      <c r="C6" s="408"/>
      <c r="D6" s="436"/>
      <c r="E6" s="436"/>
      <c r="F6" s="595"/>
    </row>
    <row r="7" spans="1:6" x14ac:dyDescent="0.25">
      <c r="A7" s="431" t="s">
        <v>52</v>
      </c>
      <c r="B7" s="592"/>
      <c r="C7" s="592"/>
      <c r="D7" s="436"/>
      <c r="E7" s="436"/>
      <c r="F7" s="595"/>
    </row>
    <row r="8" spans="1:6" x14ac:dyDescent="0.25">
      <c r="A8" s="580"/>
      <c r="B8" s="592"/>
      <c r="C8" s="592"/>
      <c r="D8" s="436"/>
      <c r="E8" s="436"/>
      <c r="F8" s="595"/>
    </row>
    <row r="9" spans="1:6" x14ac:dyDescent="0.25">
      <c r="A9" s="596" t="s">
        <v>53</v>
      </c>
      <c r="B9" s="408"/>
      <c r="C9" s="408"/>
      <c r="D9" s="436"/>
      <c r="E9" s="436">
        <f>SUM(D11:D13)</f>
        <v>0.0</v>
      </c>
      <c r="F9" s="437"/>
    </row>
    <row r="10" spans="1:6" x14ac:dyDescent="0.25">
      <c r="A10" s="431"/>
      <c r="B10" s="408"/>
      <c r="C10" s="408"/>
      <c r="D10" s="436"/>
      <c r="E10" s="436"/>
      <c r="F10" s="595"/>
    </row>
    <row r="11" spans="1:6" ht="12.6" customHeight="1" x14ac:dyDescent="0.25">
      <c r="A11" s="432" t="s">
        <v>54</v>
      </c>
      <c r="B11" s="408"/>
      <c r="C11" s="408"/>
      <c r="D11" s="578"/>
      <c r="E11" s="436"/>
      <c r="F11" s="595"/>
    </row>
    <row r="12" spans="1:6" x14ac:dyDescent="0.25">
      <c r="A12" s="432" t="s">
        <v>55</v>
      </c>
      <c r="B12" s="408"/>
      <c r="C12" s="408"/>
      <c r="D12" s="578"/>
      <c r="E12" s="436"/>
      <c r="F12" s="595"/>
    </row>
    <row r="13" spans="1:6" x14ac:dyDescent="0.25">
      <c r="A13" s="432" t="s">
        <v>56</v>
      </c>
      <c r="B13" s="408"/>
      <c r="C13" s="408"/>
      <c r="D13" s="578"/>
      <c r="E13" s="436"/>
      <c r="F13" s="595"/>
    </row>
    <row r="14" spans="1:6" x14ac:dyDescent="0.25">
      <c r="A14" s="432"/>
      <c r="B14" s="408"/>
      <c r="C14" s="408"/>
      <c r="D14" s="578"/>
      <c r="E14" s="436"/>
      <c r="F14" s="595"/>
    </row>
    <row r="15" spans="1:6" x14ac:dyDescent="0.25">
      <c r="A15" s="596" t="s">
        <v>57</v>
      </c>
      <c r="B15" s="408"/>
      <c r="C15" s="408"/>
      <c r="D15" s="436"/>
      <c r="E15" s="578">
        <f>SUM(D17:D19)</f>
        <v>0.0</v>
      </c>
      <c r="F15" s="595"/>
    </row>
    <row r="16" spans="1:6" ht="12.6" customHeight="1" x14ac:dyDescent="0.25">
      <c r="A16" s="432"/>
      <c r="B16" s="408"/>
      <c r="C16" s="408"/>
      <c r="D16" s="436"/>
      <c r="E16" s="436"/>
      <c r="F16" s="595"/>
    </row>
    <row r="17" spans="1:11" x14ac:dyDescent="0.25">
      <c r="A17" s="432" t="s">
        <v>58</v>
      </c>
      <c r="B17" s="408"/>
      <c r="C17" s="408"/>
      <c r="D17" s="794">
        <f>MVA!M33</f>
        <v>0.0</v>
      </c>
      <c r="E17" s="436"/>
      <c r="F17" s="595"/>
    </row>
    <row r="18" spans="1:11" x14ac:dyDescent="0.25">
      <c r="A18" s="432" t="s">
        <v>59</v>
      </c>
      <c r="B18" s="408"/>
      <c r="C18" s="408"/>
      <c r="D18" s="578">
        <f>MVA!M114</f>
        <v>0.0</v>
      </c>
      <c r="E18" s="598"/>
      <c r="F18" s="595"/>
    </row>
    <row r="19" spans="1:11" x14ac:dyDescent="0.25">
      <c r="A19" s="432" t="s">
        <v>60</v>
      </c>
      <c r="B19" s="408"/>
      <c r="C19" s="408"/>
      <c r="D19" s="578">
        <v>0</v>
      </c>
      <c r="E19" s="598"/>
      <c r="F19" s="595"/>
    </row>
    <row r="20" spans="1:11" x14ac:dyDescent="0.25">
      <c r="A20" s="432"/>
      <c r="B20" s="408"/>
      <c r="C20" s="408"/>
      <c r="D20" s="436"/>
      <c r="E20" s="436"/>
      <c r="F20" s="595"/>
      <c r="G20" s="60"/>
      <c r="H20" s="18"/>
      <c r="I20" s="68"/>
    </row>
    <row r="21" spans="1:11" x14ac:dyDescent="0.25">
      <c r="A21" s="596" t="s">
        <v>61</v>
      </c>
      <c r="B21" s="408"/>
      <c r="C21" s="408"/>
      <c r="D21" s="436"/>
      <c r="E21" s="436">
        <f>-D26</f>
        <v>-0.0</v>
      </c>
      <c r="F21" s="437"/>
      <c r="G21" s="2"/>
      <c r="H21" s="2"/>
      <c r="J21" s="8"/>
      <c r="K21" s="59"/>
    </row>
    <row r="22" spans="1:11" x14ac:dyDescent="0.25">
      <c r="A22" s="432"/>
      <c r="B22" s="408"/>
      <c r="C22" s="599"/>
      <c r="D22" s="436"/>
      <c r="E22" s="436"/>
      <c r="F22" s="595"/>
      <c r="G22" s="405"/>
      <c r="H22" s="405"/>
      <c r="K22" s="64"/>
    </row>
    <row r="23" spans="1:11" x14ac:dyDescent="0.25">
      <c r="A23" s="432"/>
      <c r="B23" s="408"/>
      <c r="C23" s="599"/>
      <c r="D23" s="436"/>
      <c r="E23" s="436"/>
      <c r="F23" s="595"/>
      <c r="I23" s="182"/>
      <c r="K23" s="64"/>
    </row>
    <row r="24" spans="1:11" x14ac:dyDescent="0.25">
      <c r="A24" s="432" t="str">
        <f>A18</f>
        <v xml:space="preserve">  latente meerwaarde roerende goederen (zie detail meerw. MVA)</v>
      </c>
      <c r="B24" s="408"/>
      <c r="C24" s="599"/>
      <c r="D24" s="578">
        <f>D18</f>
        <v>0.0</v>
      </c>
      <c r="E24" s="436"/>
      <c r="F24" s="595"/>
      <c r="I24" s="182"/>
      <c r="K24" s="64"/>
    </row>
    <row r="25" spans="1:11" x14ac:dyDescent="0.25">
      <c r="A25" s="432"/>
      <c r="B25" s="408"/>
      <c r="C25" s="599"/>
      <c r="D25" s="604">
        <f>SUM(D24:D24)</f>
        <v>0.0</v>
      </c>
      <c r="E25" s="436"/>
      <c r="F25" s="595"/>
      <c r="I25" s="182"/>
      <c r="K25" s="64"/>
    </row>
    <row r="26" spans="1:11" x14ac:dyDescent="0.25">
      <c r="A26" s="432"/>
      <c r="B26" s="601" t="s">
        <v>62</v>
      </c>
      <c r="C26" s="602">
        <f>D60</f>
        <v>0.19024738784088652</v>
      </c>
      <c r="D26" s="603">
        <f>D25*C26</f>
        <v>0.0</v>
      </c>
      <c r="E26" s="436"/>
      <c r="F26" s="595"/>
      <c r="I26" s="182"/>
      <c r="K26" s="64"/>
    </row>
    <row r="27" spans="1:11" x14ac:dyDescent="0.25">
      <c r="A27" s="432"/>
      <c r="B27" s="408"/>
      <c r="C27" s="599"/>
      <c r="D27" s="436"/>
      <c r="E27" s="436"/>
      <c r="F27" s="595"/>
      <c r="I27" s="182"/>
      <c r="K27" s="64"/>
    </row>
    <row r="28" spans="1:11" hidden="1" x14ac:dyDescent="0.25">
      <c r="A28" s="432" t="str">
        <f>A19</f>
        <v xml:space="preserve">  latente minderwaarde handelsvorderingen (3)</v>
      </c>
      <c r="B28" s="408"/>
      <c r="C28" s="599"/>
      <c r="D28" s="436">
        <f>D19</f>
        <v>0.0</v>
      </c>
      <c r="E28" s="436"/>
      <c r="F28" s="595"/>
      <c r="I28" s="182"/>
      <c r="K28" s="64"/>
    </row>
    <row r="29" spans="1:11" hidden="1" x14ac:dyDescent="0.25">
      <c r="A29" s="432"/>
      <c r="B29" s="408"/>
      <c r="C29" s="599"/>
      <c r="D29" s="600">
        <f>D28</f>
        <v>0.0</v>
      </c>
      <c r="E29" s="436"/>
      <c r="F29" s="595"/>
      <c r="I29" s="182"/>
      <c r="K29" s="64"/>
    </row>
    <row r="30" spans="1:11" hidden="1" x14ac:dyDescent="0.25">
      <c r="A30" s="432"/>
      <c r="B30" s="408"/>
      <c r="C30" s="602">
        <v>0.125</v>
      </c>
      <c r="D30" s="603">
        <f>D29*C30</f>
        <v>0.0</v>
      </c>
      <c r="E30" s="436"/>
      <c r="F30" s="595"/>
      <c r="I30" s="182"/>
      <c r="K30" s="64"/>
    </row>
    <row r="31" spans="1:11" hidden="1" x14ac:dyDescent="0.25">
      <c r="A31" s="432"/>
      <c r="B31" s="408"/>
      <c r="C31" s="599"/>
      <c r="D31" s="436"/>
      <c r="E31" s="436"/>
      <c r="F31" s="595"/>
      <c r="I31" s="182"/>
      <c r="K31" s="64"/>
    </row>
    <row r="32" spans="1:11" hidden="1" x14ac:dyDescent="0.25">
      <c r="A32" s="432"/>
      <c r="B32" s="408"/>
      <c r="C32" s="599"/>
      <c r="D32" s="436"/>
      <c r="E32" s="436"/>
      <c r="F32" s="595"/>
      <c r="I32" s="182"/>
      <c r="K32" s="64"/>
    </row>
    <row r="33" spans="1:11" ht="12.6" customHeight="1" x14ac:dyDescent="0.25">
      <c r="A33" s="596" t="s">
        <v>63</v>
      </c>
      <c r="B33" s="408"/>
      <c r="C33" s="599"/>
      <c r="D33" s="436"/>
      <c r="E33" s="436">
        <f>-D39</f>
        <v>-0.0</v>
      </c>
      <c r="F33" s="595"/>
      <c r="I33" s="182"/>
      <c r="K33" s="64"/>
    </row>
    <row r="34" spans="1:11" ht="12.6" customHeight="1" x14ac:dyDescent="0.25">
      <c r="A34" s="432" t="str">
        <f>A12</f>
        <v xml:space="preserve">  Beschikbare reserves - liquidatiereserves</v>
      </c>
      <c r="B34" s="408"/>
      <c r="C34" s="599"/>
      <c r="D34" s="436">
        <f>D12</f>
        <v>0.0</v>
      </c>
      <c r="E34" s="436"/>
      <c r="F34" s="595"/>
      <c r="I34" s="182"/>
      <c r="K34" s="64"/>
    </row>
    <row r="35" spans="1:11" x14ac:dyDescent="0.25">
      <c r="A35" s="432" t="str">
        <f>A13</f>
        <v xml:space="preserve">  Overgedragen winst</v>
      </c>
      <c r="B35" s="408"/>
      <c r="C35" s="599"/>
      <c r="D35" s="436">
        <f>D13</f>
        <v>0.0</v>
      </c>
      <c r="E35" s="436"/>
      <c r="F35" s="595"/>
      <c r="I35" s="182"/>
      <c r="K35" s="64"/>
    </row>
    <row r="36" spans="1:11" x14ac:dyDescent="0.25">
      <c r="A36" s="432" t="s">
        <v>64</v>
      </c>
      <c r="B36" s="408"/>
      <c r="C36" s="408"/>
      <c r="D36" s="578">
        <f>E15</f>
        <v>0.0</v>
      </c>
      <c r="E36" s="436"/>
      <c r="F36" s="595"/>
      <c r="I36" s="182"/>
      <c r="K36" s="64"/>
    </row>
    <row r="37" spans="1:11" x14ac:dyDescent="0.25">
      <c r="A37" s="432" t="s">
        <v>65</v>
      </c>
      <c r="B37" s="408"/>
      <c r="C37" s="408"/>
      <c r="D37" s="578">
        <f>E21</f>
        <v>-0.0</v>
      </c>
      <c r="E37" s="436"/>
      <c r="F37" s="595"/>
      <c r="I37" s="182"/>
      <c r="K37" s="64"/>
    </row>
    <row r="38" spans="1:11" x14ac:dyDescent="0.25">
      <c r="A38" s="432"/>
      <c r="B38" s="408"/>
      <c r="C38" s="599"/>
      <c r="D38" s="604">
        <f>SUM(D34:D37)</f>
        <v>0.0</v>
      </c>
      <c r="E38" s="436"/>
      <c r="F38" s="595"/>
      <c r="I38" s="182"/>
      <c r="K38" s="64"/>
    </row>
    <row r="39" spans="1:11" x14ac:dyDescent="0.25">
      <c r="A39" s="432"/>
      <c r="B39" s="601" t="s">
        <v>66</v>
      </c>
      <c r="C39" s="602">
        <v>0</v>
      </c>
      <c r="D39" s="603">
        <f>D38*C39</f>
        <v>0.0</v>
      </c>
      <c r="E39" s="436"/>
      <c r="F39" s="595"/>
      <c r="G39" s="387"/>
      <c r="I39" s="182"/>
      <c r="K39" s="64"/>
    </row>
    <row r="40" spans="1:11" x14ac:dyDescent="0.25">
      <c r="A40" s="432"/>
      <c r="B40" s="408"/>
      <c r="C40" s="599"/>
      <c r="D40" s="436"/>
      <c r="E40" s="436"/>
      <c r="F40" s="595"/>
      <c r="I40" s="182"/>
      <c r="K40" s="64"/>
    </row>
    <row r="41" spans="1:11" hidden="1" x14ac:dyDescent="0.25">
      <c r="A41" s="432"/>
      <c r="B41" s="408"/>
      <c r="C41" s="599"/>
      <c r="D41" s="436"/>
      <c r="E41" s="436"/>
      <c r="F41" s="595"/>
      <c r="I41" s="182"/>
      <c r="K41" s="64"/>
    </row>
    <row r="42" spans="1:11" s="2" customFormat="1" hidden="1" x14ac:dyDescent="0.25">
      <c r="A42" s="432"/>
      <c r="B42" s="408"/>
      <c r="C42" s="599"/>
      <c r="D42" s="436"/>
      <c r="E42" s="408"/>
      <c r="F42" s="605"/>
      <c r="G42" s="27"/>
      <c r="H42" s="64"/>
      <c r="I42" s="182"/>
      <c r="J42" s="27"/>
      <c r="K42" s="64"/>
    </row>
    <row r="43" spans="1:11" s="2" customFormat="1" ht="13.8" thickBot="1" x14ac:dyDescent="0.3">
      <c r="A43" s="432"/>
      <c r="B43" s="408"/>
      <c r="C43" s="408"/>
      <c r="D43" s="436"/>
      <c r="E43" s="436"/>
      <c r="F43" s="595"/>
      <c r="G43" s="27"/>
      <c r="H43" s="64"/>
      <c r="I43" s="182"/>
      <c r="J43" s="27"/>
      <c r="K43" s="64"/>
    </row>
    <row r="44" spans="1:11" ht="13.8" thickBot="1" x14ac:dyDescent="0.3">
      <c r="A44" s="431" t="s">
        <v>67</v>
      </c>
      <c r="B44" s="408"/>
      <c r="C44" s="408"/>
      <c r="D44" s="606"/>
      <c r="E44" s="617">
        <f>SUM(E7:E42)</f>
        <v>0.0</v>
      </c>
      <c r="F44" s="595"/>
      <c r="I44" s="182"/>
      <c r="K44" s="64"/>
    </row>
    <row r="45" spans="1:11" x14ac:dyDescent="0.25">
      <c r="A45" s="607"/>
      <c r="B45" s="438"/>
      <c r="C45" s="438"/>
      <c r="D45" s="439"/>
      <c r="E45" s="608"/>
      <c r="F45" s="609"/>
      <c r="I45" s="182"/>
      <c r="K45" s="64"/>
    </row>
    <row r="46" spans="1:11" x14ac:dyDescent="0.25">
      <c r="A46" s="610"/>
      <c r="B46" s="611"/>
      <c r="C46" s="611"/>
      <c r="D46" s="435"/>
      <c r="E46" s="612"/>
      <c r="F46" s="613"/>
      <c r="I46" s="182"/>
      <c r="K46" s="64"/>
    </row>
    <row r="47" spans="1:11" hidden="1" x14ac:dyDescent="0.25">
      <c r="A47" s="744" t="s">
        <v>68</v>
      </c>
      <c r="B47" s="247" t="s">
        <v>69</v>
      </c>
      <c r="C47" s="745"/>
      <c r="D47" s="746"/>
      <c r="E47" s="398"/>
      <c r="F47" s="597"/>
      <c r="I47" s="182"/>
      <c r="K47" s="64"/>
    </row>
    <row r="48" spans="1:11" hidden="1" x14ac:dyDescent="0.25">
      <c r="A48" s="747"/>
      <c r="B48" s="247"/>
      <c r="C48" s="398">
        <f>SUM(C47:C47)</f>
        <v>0.0</v>
      </c>
      <c r="D48" s="247">
        <f>SUM(D47:D47)</f>
        <v>0.0</v>
      </c>
      <c r="E48" s="399"/>
      <c r="F48" s="597"/>
      <c r="I48" s="182"/>
      <c r="K48" s="64"/>
    </row>
    <row r="49" spans="1:11" hidden="1" x14ac:dyDescent="0.25">
      <c r="A49" s="614"/>
      <c r="B49" s="430"/>
      <c r="C49" s="627"/>
      <c r="D49" s="430"/>
      <c r="E49" s="785"/>
      <c r="F49" s="597"/>
      <c r="I49" s="182"/>
      <c r="K49" s="64"/>
    </row>
    <row r="50" spans="1:11" x14ac:dyDescent="0.25">
      <c r="A50" s="748" t="s">
        <v>70</v>
      </c>
      <c r="B50" s="408"/>
      <c r="C50" s="408"/>
      <c r="D50" s="436"/>
      <c r="E50" s="593"/>
      <c r="F50" s="595"/>
      <c r="I50" s="182"/>
      <c r="K50" s="64"/>
    </row>
    <row r="51" spans="1:11" ht="13.2" customHeight="1" x14ac:dyDescent="0.25">
      <c r="A51" s="863" t="s">
        <v>71</v>
      </c>
      <c r="B51" s="864"/>
      <c r="C51" s="864"/>
      <c r="D51" s="864"/>
      <c r="E51" s="864"/>
      <c r="F51" s="595"/>
      <c r="I51" s="182"/>
      <c r="K51" s="64"/>
    </row>
    <row r="52" spans="1:11" x14ac:dyDescent="0.25">
      <c r="A52" s="863"/>
      <c r="B52" s="864"/>
      <c r="C52" s="864"/>
      <c r="D52" s="864"/>
      <c r="E52" s="864"/>
      <c r="F52" s="595"/>
      <c r="I52" s="182"/>
      <c r="K52" s="64"/>
    </row>
    <row r="53" spans="1:11" x14ac:dyDescent="0.25">
      <c r="A53" s="863"/>
      <c r="B53" s="864"/>
      <c r="C53" s="864"/>
      <c r="D53" s="864"/>
      <c r="E53" s="864"/>
      <c r="F53" s="595"/>
      <c r="I53" s="182"/>
      <c r="K53" s="64"/>
    </row>
    <row r="54" spans="1:11" x14ac:dyDescent="0.25">
      <c r="A54" s="863"/>
      <c r="B54" s="864"/>
      <c r="C54" s="864"/>
      <c r="D54" s="864"/>
      <c r="E54" s="864"/>
      <c r="F54" s="595"/>
      <c r="I54" s="182"/>
      <c r="K54" s="64"/>
    </row>
    <row r="55" spans="1:11" x14ac:dyDescent="0.25">
      <c r="A55" s="431"/>
      <c r="B55" s="786"/>
      <c r="C55" s="786"/>
      <c r="D55" s="786"/>
      <c r="E55" s="786"/>
      <c r="F55" s="595"/>
      <c r="I55" s="182"/>
      <c r="K55" s="64"/>
    </row>
    <row r="56" spans="1:11" x14ac:dyDescent="0.25">
      <c r="A56" s="431"/>
      <c r="B56" s="408"/>
      <c r="C56" s="408"/>
      <c r="D56" s="787" t="s">
        <v>72</v>
      </c>
      <c r="E56" s="787"/>
      <c r="F56" s="766"/>
      <c r="I56" s="182"/>
      <c r="K56" s="64"/>
    </row>
    <row r="57" spans="1:11" x14ac:dyDescent="0.25">
      <c r="A57" s="431"/>
      <c r="B57" s="408" t="s">
        <v>73</v>
      </c>
      <c r="C57" s="408"/>
      <c r="D57" s="615">
        <v>0.25</v>
      </c>
      <c r="E57" s="615"/>
      <c r="F57" s="767"/>
      <c r="I57" s="182"/>
      <c r="K57" s="64"/>
    </row>
    <row r="58" spans="1:11" x14ac:dyDescent="0.25">
      <c r="A58" s="431"/>
      <c r="B58" s="408" t="s">
        <v>74</v>
      </c>
      <c r="C58" s="408"/>
      <c r="D58" s="615">
        <f>+OLO!G49</f>
        <v>0.027690000000000003</v>
      </c>
      <c r="E58" s="615"/>
      <c r="F58" s="767"/>
      <c r="I58" s="182"/>
      <c r="K58" s="64"/>
    </row>
    <row r="59" spans="1:11" x14ac:dyDescent="0.25">
      <c r="A59" s="431"/>
      <c r="B59" s="408" t="s">
        <v>75</v>
      </c>
      <c r="C59" s="408"/>
      <c r="D59" s="615">
        <f>1/(1+D58)^10</f>
        <v>0.7609895513635461</v>
      </c>
      <c r="E59" s="615"/>
      <c r="F59" s="767"/>
      <c r="I59" s="182"/>
      <c r="K59" s="64"/>
    </row>
    <row r="60" spans="1:11" x14ac:dyDescent="0.25">
      <c r="A60" s="431"/>
      <c r="B60" s="408" t="s">
        <v>76</v>
      </c>
      <c r="C60" s="408"/>
      <c r="D60" s="616">
        <f>D57*D59</f>
        <v>0.19024738784088652</v>
      </c>
      <c r="E60" s="616"/>
      <c r="F60" s="768"/>
      <c r="I60" s="182"/>
      <c r="K60" s="64"/>
    </row>
    <row r="61" spans="1:11" x14ac:dyDescent="0.25">
      <c r="A61" s="431"/>
      <c r="B61" s="408"/>
      <c r="C61" s="408"/>
      <c r="D61" s="436"/>
      <c r="E61" s="593"/>
      <c r="F61" s="595"/>
      <c r="I61" s="182"/>
      <c r="K61" s="64"/>
    </row>
    <row r="62" spans="1:11" ht="13.2" customHeight="1" x14ac:dyDescent="0.25">
      <c r="A62" s="748" t="s">
        <v>77</v>
      </c>
      <c r="B62" s="784"/>
      <c r="C62" s="784"/>
      <c r="D62" s="784"/>
      <c r="E62" s="784"/>
      <c r="F62" s="719"/>
      <c r="G62" s="387"/>
      <c r="I62" s="182"/>
      <c r="K62" s="64"/>
    </row>
    <row r="63" spans="1:11" ht="13.2" customHeight="1" x14ac:dyDescent="0.25">
      <c r="A63" s="870" t="s">
        <v>78</v>
      </c>
      <c r="B63" s="871"/>
      <c r="C63" s="871"/>
      <c r="D63" s="871"/>
      <c r="E63" s="871"/>
      <c r="F63" s="839"/>
      <c r="G63" s="387"/>
      <c r="I63" s="182"/>
      <c r="K63" s="64"/>
    </row>
    <row r="64" spans="1:11" ht="13.2" customHeight="1" x14ac:dyDescent="0.25">
      <c r="A64" s="870"/>
      <c r="B64" s="871"/>
      <c r="C64" s="871"/>
      <c r="D64" s="871"/>
      <c r="E64" s="871"/>
      <c r="F64" s="839"/>
      <c r="G64" s="387"/>
      <c r="I64" s="182"/>
      <c r="K64" s="64"/>
    </row>
    <row r="65" spans="1:11" ht="13.2" customHeight="1" x14ac:dyDescent="0.25">
      <c r="A65" s="870"/>
      <c r="B65" s="871"/>
      <c r="C65" s="871"/>
      <c r="D65" s="871"/>
      <c r="E65" s="871"/>
      <c r="F65" s="839"/>
      <c r="G65" s="387"/>
      <c r="I65" s="182"/>
      <c r="K65" s="64"/>
    </row>
    <row r="66" spans="1:11" ht="13.2" customHeight="1" x14ac:dyDescent="0.25">
      <c r="A66" s="748" t="s">
        <v>79</v>
      </c>
      <c r="B66" s="784"/>
      <c r="C66" s="784"/>
      <c r="D66" s="784"/>
      <c r="E66" s="784"/>
      <c r="F66" s="719"/>
      <c r="G66" s="387"/>
      <c r="I66" s="182"/>
      <c r="K66" s="64"/>
    </row>
    <row r="67" spans="1:11" ht="13.2" customHeight="1" x14ac:dyDescent="0.25">
      <c r="A67" s="868" t="s">
        <v>80</v>
      </c>
      <c r="B67" s="869"/>
      <c r="C67" s="869"/>
      <c r="D67" s="869"/>
      <c r="E67" s="869"/>
      <c r="F67" s="719"/>
      <c r="G67" s="387"/>
      <c r="I67" s="182"/>
      <c r="K67" s="64"/>
    </row>
    <row r="68" spans="1:11" ht="13.2" customHeight="1" x14ac:dyDescent="0.25">
      <c r="A68" s="868"/>
      <c r="B68" s="869"/>
      <c r="C68" s="869"/>
      <c r="D68" s="869"/>
      <c r="E68" s="869"/>
      <c r="F68" s="719"/>
      <c r="G68" s="387"/>
      <c r="I68" s="182"/>
      <c r="K68" s="64"/>
    </row>
    <row r="69" spans="1:11" ht="13.2" customHeight="1" x14ac:dyDescent="0.25">
      <c r="A69" s="868"/>
      <c r="B69" s="869"/>
      <c r="C69" s="869"/>
      <c r="D69" s="869"/>
      <c r="E69" s="869"/>
      <c r="F69" s="719"/>
      <c r="G69" s="387"/>
      <c r="I69" s="182"/>
      <c r="K69" s="64"/>
    </row>
    <row r="70" spans="1:11" ht="13.2" customHeight="1" x14ac:dyDescent="0.25">
      <c r="A70" s="788"/>
      <c r="B70" s="769"/>
      <c r="C70" s="769"/>
      <c r="D70" s="769"/>
      <c r="E70" s="769"/>
      <c r="F70" s="770"/>
      <c r="G70" s="387"/>
      <c r="I70" s="182"/>
      <c r="K70" s="64"/>
    </row>
    <row r="71" spans="1:11" x14ac:dyDescent="0.25">
      <c r="A71" s="419"/>
      <c r="C71" s="64"/>
      <c r="E71" s="4"/>
      <c r="G71" s="64"/>
      <c r="I71" s="182"/>
      <c r="K71" s="64"/>
    </row>
    <row r="72" spans="1:11" x14ac:dyDescent="0.25">
      <c r="A72" s="419"/>
      <c r="C72" s="64"/>
      <c r="E72" s="4"/>
      <c r="I72" s="182"/>
      <c r="K72" s="64"/>
    </row>
    <row r="73" spans="1:11" x14ac:dyDescent="0.25">
      <c r="A73" s="419"/>
      <c r="C73" s="64"/>
      <c r="E73" s="4"/>
      <c r="I73" s="182"/>
      <c r="K73" s="64"/>
    </row>
    <row r="74" spans="1:11" x14ac:dyDescent="0.25">
      <c r="A74" s="419"/>
      <c r="C74" s="64"/>
      <c r="E74" s="4"/>
      <c r="I74" s="182"/>
      <c r="K74" s="64"/>
    </row>
    <row r="75" spans="1:11" x14ac:dyDescent="0.25">
      <c r="A75" s="419"/>
      <c r="B75" s="387"/>
      <c r="C75" s="418"/>
      <c r="D75" s="418"/>
      <c r="E75" s="420"/>
      <c r="F75" s="387"/>
      <c r="I75" s="182"/>
      <c r="K75" s="64"/>
    </row>
    <row r="76" spans="1:11" x14ac:dyDescent="0.25">
      <c r="A76" s="419"/>
      <c r="C76" s="64"/>
      <c r="D76" s="418"/>
      <c r="E76" s="420"/>
      <c r="F76" s="387"/>
      <c r="I76" s="182"/>
      <c r="K76" s="64"/>
    </row>
    <row r="77" spans="1:11" x14ac:dyDescent="0.25">
      <c r="A77" s="419"/>
      <c r="C77" s="64"/>
      <c r="D77" s="418"/>
      <c r="E77" s="420"/>
      <c r="F77" s="387"/>
      <c r="I77" s="182"/>
      <c r="K77" s="64"/>
    </row>
    <row r="78" spans="1:11" x14ac:dyDescent="0.25">
      <c r="A78" s="419"/>
      <c r="C78" s="64"/>
      <c r="D78" s="418"/>
      <c r="E78" s="420"/>
      <c r="F78" s="387"/>
      <c r="I78" s="182"/>
      <c r="K78" s="64"/>
    </row>
    <row r="79" spans="1:11" x14ac:dyDescent="0.25">
      <c r="A79" s="419"/>
      <c r="B79" s="387"/>
      <c r="C79" s="421"/>
      <c r="D79" s="423"/>
      <c r="E79" s="420"/>
      <c r="F79" s="387"/>
      <c r="I79" s="182"/>
      <c r="K79" s="64"/>
    </row>
    <row r="80" spans="1:11" x14ac:dyDescent="0.25">
      <c r="A80" s="419"/>
      <c r="B80" s="387"/>
      <c r="C80" s="421"/>
      <c r="D80" s="420"/>
      <c r="E80" s="420"/>
      <c r="F80" s="387"/>
      <c r="I80" s="182"/>
      <c r="K80" s="64"/>
    </row>
    <row r="81" spans="1:11" x14ac:dyDescent="0.25">
      <c r="A81" s="419"/>
      <c r="B81" s="387"/>
      <c r="C81" s="421"/>
      <c r="D81" s="387"/>
      <c r="E81" s="420"/>
      <c r="F81" s="387"/>
      <c r="I81" s="182"/>
      <c r="K81" s="64"/>
    </row>
    <row r="82" spans="1:11" x14ac:dyDescent="0.25">
      <c r="A82" s="419"/>
      <c r="B82" s="387"/>
      <c r="C82" s="421"/>
      <c r="D82" s="387"/>
      <c r="E82" s="420"/>
      <c r="F82" s="387"/>
      <c r="I82" s="182"/>
      <c r="K82" s="64"/>
    </row>
    <row r="83" spans="1:11" x14ac:dyDescent="0.25">
      <c r="A83" s="419"/>
      <c r="B83" s="387"/>
      <c r="C83" s="421"/>
      <c r="D83" s="418"/>
      <c r="E83" s="420"/>
      <c r="F83" s="387"/>
      <c r="I83" s="182"/>
      <c r="K83" s="64"/>
    </row>
    <row r="84" spans="1:11" x14ac:dyDescent="0.25">
      <c r="A84" s="419"/>
      <c r="B84" s="387"/>
      <c r="C84" s="421"/>
      <c r="D84" s="418"/>
      <c r="E84" s="420"/>
      <c r="F84" s="387"/>
      <c r="I84" s="182"/>
      <c r="K84" s="64"/>
    </row>
    <row r="85" spans="1:11" x14ac:dyDescent="0.25">
      <c r="A85" s="419"/>
      <c r="B85" s="387"/>
      <c r="C85" s="421"/>
      <c r="D85" s="418"/>
      <c r="E85" s="420"/>
      <c r="F85" s="387"/>
      <c r="I85" s="182"/>
      <c r="K85" s="64"/>
    </row>
    <row r="86" spans="1:11" x14ac:dyDescent="0.25">
      <c r="A86" s="419"/>
      <c r="B86" s="387"/>
      <c r="C86" s="421"/>
      <c r="D86" s="423"/>
      <c r="E86" s="420"/>
      <c r="F86" s="387"/>
      <c r="I86" s="182"/>
      <c r="K86" s="64"/>
    </row>
    <row r="87" spans="1:11" x14ac:dyDescent="0.25">
      <c r="A87" s="419"/>
      <c r="B87" s="387"/>
      <c r="C87" s="421"/>
      <c r="D87" s="420"/>
      <c r="E87" s="420"/>
      <c r="F87" s="387"/>
      <c r="I87" s="182"/>
      <c r="K87" s="64"/>
    </row>
    <row r="88" spans="1:11" x14ac:dyDescent="0.25">
      <c r="A88" s="419"/>
      <c r="B88" s="387"/>
      <c r="C88" s="421"/>
      <c r="D88" s="387"/>
      <c r="E88" s="420"/>
      <c r="F88" s="387"/>
      <c r="I88" s="182"/>
      <c r="K88" s="64"/>
    </row>
    <row r="89" spans="1:11" x14ac:dyDescent="0.25">
      <c r="A89" s="419"/>
      <c r="B89" s="387"/>
      <c r="C89" s="421"/>
      <c r="D89" s="387"/>
      <c r="E89" s="420"/>
      <c r="F89" s="387"/>
      <c r="I89" s="182"/>
      <c r="K89" s="64"/>
    </row>
    <row r="90" spans="1:11" x14ac:dyDescent="0.25">
      <c r="A90" s="419"/>
      <c r="B90" s="387"/>
      <c r="C90" s="421"/>
      <c r="D90" s="418"/>
      <c r="E90" s="420"/>
      <c r="F90" s="387"/>
      <c r="I90" s="182"/>
      <c r="K90" s="64"/>
    </row>
    <row r="91" spans="1:11" x14ac:dyDescent="0.25">
      <c r="A91" s="419"/>
      <c r="B91" s="387"/>
      <c r="C91" s="421"/>
      <c r="D91" s="418"/>
      <c r="E91" s="420"/>
      <c r="F91" s="387"/>
      <c r="I91" s="182"/>
      <c r="K91" s="64"/>
    </row>
    <row r="92" spans="1:11" x14ac:dyDescent="0.25">
      <c r="A92" s="419"/>
      <c r="B92" s="387"/>
      <c r="C92" s="421"/>
      <c r="D92" s="418"/>
      <c r="E92" s="420"/>
      <c r="F92" s="387"/>
      <c r="I92" s="182"/>
      <c r="K92" s="64"/>
    </row>
    <row r="93" spans="1:11" x14ac:dyDescent="0.25">
      <c r="A93" s="419"/>
      <c r="B93" s="387"/>
      <c r="C93" s="421"/>
      <c r="D93" s="423"/>
      <c r="E93" s="420"/>
      <c r="F93" s="387"/>
      <c r="I93" s="182"/>
      <c r="K93" s="64"/>
    </row>
    <row r="94" spans="1:11" x14ac:dyDescent="0.25">
      <c r="A94" s="419"/>
      <c r="B94" s="387"/>
      <c r="C94" s="421"/>
      <c r="D94" s="420"/>
      <c r="E94" s="420"/>
      <c r="F94" s="387"/>
      <c r="I94" s="182"/>
      <c r="K94" s="64"/>
    </row>
    <row r="95" spans="1:11" x14ac:dyDescent="0.25">
      <c r="A95" s="419"/>
      <c r="B95" s="387"/>
      <c r="C95" s="421"/>
      <c r="D95" s="387"/>
      <c r="E95" s="420"/>
      <c r="F95" s="387"/>
      <c r="I95" s="182"/>
      <c r="K95" s="64"/>
    </row>
    <row r="96" spans="1:11" x14ac:dyDescent="0.25">
      <c r="A96" s="419"/>
      <c r="B96" s="387"/>
      <c r="C96" s="421"/>
      <c r="D96" s="418"/>
      <c r="E96" s="420"/>
      <c r="F96" s="387"/>
      <c r="I96" s="182"/>
      <c r="K96" s="64"/>
    </row>
    <row r="97" spans="1:11" x14ac:dyDescent="0.25">
      <c r="A97" s="419"/>
      <c r="B97" s="387"/>
      <c r="C97" s="421"/>
      <c r="D97" s="418"/>
      <c r="E97" s="420"/>
      <c r="F97" s="387"/>
      <c r="I97" s="182"/>
      <c r="K97" s="64"/>
    </row>
    <row r="98" spans="1:11" x14ac:dyDescent="0.25">
      <c r="A98" s="419"/>
      <c r="B98" s="419"/>
      <c r="C98" s="422"/>
      <c r="D98" s="420"/>
      <c r="E98" s="420"/>
      <c r="F98" s="387"/>
      <c r="I98" s="182"/>
      <c r="K98" s="64"/>
    </row>
    <row r="99" spans="1:11" x14ac:dyDescent="0.25">
      <c r="A99" s="419"/>
      <c r="B99" s="387"/>
      <c r="C99" s="421"/>
      <c r="D99" s="387"/>
      <c r="E99" s="420"/>
      <c r="F99" s="387"/>
      <c r="I99" s="182"/>
      <c r="K99" s="64"/>
    </row>
    <row r="100" spans="1:11" x14ac:dyDescent="0.25">
      <c r="A100" s="419"/>
      <c r="B100" s="387"/>
      <c r="C100" s="421"/>
      <c r="D100" s="387"/>
      <c r="E100" s="420"/>
      <c r="F100" s="387"/>
      <c r="I100" s="182"/>
      <c r="K100" s="64"/>
    </row>
    <row r="101" spans="1:11" x14ac:dyDescent="0.25">
      <c r="A101" s="417"/>
      <c r="B101" s="387"/>
      <c r="C101" s="387"/>
      <c r="D101" s="418"/>
      <c r="E101" s="420"/>
      <c r="F101" s="387"/>
      <c r="I101" s="182"/>
      <c r="K101" s="64"/>
    </row>
    <row r="102" spans="1:11" x14ac:dyDescent="0.25">
      <c r="A102" s="419"/>
      <c r="B102" s="387"/>
      <c r="C102" s="387"/>
      <c r="D102" s="418"/>
      <c r="E102" s="418"/>
      <c r="F102" s="387"/>
      <c r="I102" s="182"/>
      <c r="K102" s="64"/>
    </row>
    <row r="103" spans="1:11" x14ac:dyDescent="0.25">
      <c r="A103" s="419"/>
      <c r="B103" s="387"/>
      <c r="C103" s="387"/>
      <c r="D103" s="418"/>
      <c r="E103" s="418"/>
      <c r="F103" s="387"/>
      <c r="I103" s="182"/>
      <c r="K103" s="64"/>
    </row>
    <row r="104" spans="1:11" x14ac:dyDescent="0.25">
      <c r="A104" s="419"/>
      <c r="B104" s="387"/>
      <c r="C104" s="387"/>
      <c r="D104" s="418"/>
      <c r="E104" s="418"/>
      <c r="F104" s="387"/>
      <c r="I104" s="182"/>
      <c r="K104" s="64"/>
    </row>
    <row r="105" spans="1:11" x14ac:dyDescent="0.25">
      <c r="A105" s="419"/>
      <c r="B105" s="387"/>
      <c r="C105" s="387"/>
      <c r="D105" s="418"/>
      <c r="E105" s="418"/>
      <c r="F105" s="418"/>
      <c r="I105" s="182"/>
      <c r="K105" s="64"/>
    </row>
    <row r="106" spans="1:11" x14ac:dyDescent="0.25">
      <c r="A106" s="419"/>
      <c r="B106" s="387"/>
      <c r="C106" s="387"/>
      <c r="D106" s="424"/>
      <c r="E106" s="424"/>
      <c r="F106" s="424"/>
      <c r="I106" s="182"/>
      <c r="K106" s="64"/>
    </row>
    <row r="107" spans="1:11" x14ac:dyDescent="0.25">
      <c r="A107" s="419"/>
      <c r="B107" s="387"/>
      <c r="C107" s="387"/>
      <c r="D107" s="425"/>
      <c r="E107" s="425"/>
      <c r="F107" s="425"/>
      <c r="I107" s="182"/>
      <c r="K107" s="64"/>
    </row>
    <row r="108" spans="1:11" x14ac:dyDescent="0.25">
      <c r="A108" s="419"/>
      <c r="B108" s="387"/>
      <c r="C108" s="387"/>
      <c r="D108" s="425"/>
      <c r="E108" s="425"/>
      <c r="F108" s="425"/>
      <c r="I108" s="182"/>
      <c r="K108" s="64"/>
    </row>
    <row r="109" spans="1:11" x14ac:dyDescent="0.25">
      <c r="A109" s="419"/>
      <c r="B109" s="387"/>
      <c r="C109" s="387"/>
      <c r="D109" s="425"/>
      <c r="E109" s="425"/>
      <c r="F109" s="425"/>
      <c r="I109" s="182"/>
      <c r="K109" s="64"/>
    </row>
    <row r="110" spans="1:11" x14ac:dyDescent="0.25">
      <c r="A110" s="419"/>
      <c r="B110" s="387"/>
      <c r="C110" s="387"/>
      <c r="D110" s="425"/>
      <c r="E110" s="425"/>
      <c r="F110" s="425"/>
      <c r="I110" s="182"/>
      <c r="K110" s="64"/>
    </row>
    <row r="111" spans="1:11" x14ac:dyDescent="0.25">
      <c r="A111" s="419"/>
      <c r="B111" s="387"/>
      <c r="C111" s="387"/>
      <c r="D111" s="418"/>
      <c r="E111" s="420"/>
      <c r="F111" s="387"/>
      <c r="I111" s="182"/>
      <c r="K111" s="64"/>
    </row>
    <row r="112" spans="1:11" hidden="1" x14ac:dyDescent="0.25">
      <c r="A112" s="247" t="s">
        <v>81</v>
      </c>
      <c r="B112" s="247"/>
      <c r="C112" s="247"/>
      <c r="D112" s="398"/>
      <c r="E112" s="399"/>
      <c r="F112" s="247"/>
      <c r="I112" s="182"/>
      <c r="K112" s="64"/>
    </row>
    <row r="113" spans="1:11" hidden="1" x14ac:dyDescent="0.25">
      <c r="A113" s="400"/>
      <c r="B113" s="247"/>
      <c r="C113" s="247"/>
      <c r="D113" s="398"/>
      <c r="E113" s="399"/>
      <c r="F113" s="247"/>
      <c r="I113" s="182"/>
      <c r="K113" s="64"/>
    </row>
    <row r="114" spans="1:11" x14ac:dyDescent="0.25">
      <c r="A114" s="254"/>
      <c r="E114" s="4"/>
      <c r="I114" s="182"/>
      <c r="K114" s="64"/>
    </row>
    <row r="115" spans="1:11" x14ac:dyDescent="0.25">
      <c r="A115" s="254"/>
      <c r="E115" s="4"/>
      <c r="I115" s="182"/>
      <c r="K115" s="64"/>
    </row>
    <row r="116" spans="1:11" x14ac:dyDescent="0.25">
      <c r="A116" s="67"/>
      <c r="B116" s="395"/>
      <c r="C116" s="182"/>
      <c r="D116" s="27"/>
      <c r="E116" s="4"/>
      <c r="I116" s="182"/>
      <c r="K116" s="64"/>
    </row>
    <row r="117" spans="1:11" x14ac:dyDescent="0.25">
      <c r="A117" s="67"/>
      <c r="C117" s="182"/>
      <c r="D117" s="27"/>
      <c r="E117" s="4"/>
      <c r="I117" s="182"/>
      <c r="K117" s="64"/>
    </row>
    <row r="118" spans="1:11" x14ac:dyDescent="0.25">
      <c r="A118" s="67"/>
      <c r="C118" s="182"/>
      <c r="D118" s="27"/>
      <c r="E118" s="4"/>
      <c r="I118" s="182"/>
      <c r="K118" s="64"/>
    </row>
    <row r="119" spans="1:11" x14ac:dyDescent="0.25">
      <c r="A119" s="67"/>
      <c r="C119" s="182"/>
      <c r="D119" s="27"/>
      <c r="E119" s="4"/>
      <c r="I119" s="182"/>
      <c r="K119" s="64"/>
    </row>
    <row r="120" spans="1:11" x14ac:dyDescent="0.25">
      <c r="A120" s="254"/>
      <c r="E120" s="4"/>
      <c r="I120" s="182"/>
      <c r="K120" s="64"/>
    </row>
    <row r="121" spans="1:11" x14ac:dyDescent="0.25">
      <c r="A121" s="67"/>
      <c r="B121" s="395"/>
      <c r="G121" s="406"/>
      <c r="H121" s="407"/>
      <c r="I121" s="182"/>
      <c r="K121" s="64"/>
    </row>
    <row r="122" spans="1:11" x14ac:dyDescent="0.25">
      <c r="A122" s="67"/>
      <c r="G122" s="406"/>
      <c r="H122" s="408"/>
      <c r="I122" s="182"/>
      <c r="K122" s="64"/>
    </row>
    <row r="123" spans="1:11" x14ac:dyDescent="0.25">
      <c r="A123" s="67"/>
      <c r="G123" s="406"/>
      <c r="H123" s="408"/>
      <c r="I123" s="182"/>
      <c r="K123" s="64"/>
    </row>
    <row r="124" spans="1:11" x14ac:dyDescent="0.25">
      <c r="A124" s="67"/>
      <c r="G124" s="406"/>
      <c r="H124" s="408"/>
      <c r="I124" s="182"/>
      <c r="K124" s="64"/>
    </row>
    <row r="125" spans="1:11" x14ac:dyDescent="0.25">
      <c r="A125" s="67"/>
      <c r="F125" s="64"/>
      <c r="I125" s="182"/>
      <c r="K125" s="64"/>
    </row>
    <row r="126" spans="1:11" x14ac:dyDescent="0.25">
      <c r="A126" s="67"/>
      <c r="D126" s="409"/>
      <c r="E126" s="409"/>
      <c r="F126" s="64"/>
      <c r="H126" s="27"/>
    </row>
    <row r="127" spans="1:11" x14ac:dyDescent="0.25">
      <c r="A127" s="67"/>
      <c r="D127" s="410"/>
      <c r="E127" s="410"/>
      <c r="F127" s="64"/>
      <c r="H127" s="27"/>
    </row>
    <row r="128" spans="1:11" x14ac:dyDescent="0.25">
      <c r="A128" s="67"/>
      <c r="D128" s="410"/>
      <c r="E128" s="410"/>
      <c r="F128" s="64"/>
      <c r="H128" s="27"/>
    </row>
    <row r="129" spans="1:8" x14ac:dyDescent="0.25">
      <c r="A129" s="67"/>
      <c r="D129" s="410"/>
      <c r="E129" s="410"/>
      <c r="F129" s="64"/>
      <c r="H129" s="27"/>
    </row>
    <row r="130" spans="1:8" x14ac:dyDescent="0.25">
      <c r="A130" s="67"/>
      <c r="D130" s="410"/>
      <c r="E130" s="410"/>
      <c r="F130" s="64"/>
      <c r="H130" s="27"/>
    </row>
    <row r="131" spans="1:8" x14ac:dyDescent="0.25">
      <c r="A131" s="67"/>
      <c r="F131" s="64"/>
      <c r="H131" s="27"/>
    </row>
    <row r="132" spans="1:8" x14ac:dyDescent="0.25">
      <c r="A132" s="67"/>
      <c r="B132" s="395"/>
      <c r="F132" s="64"/>
      <c r="H132" s="27"/>
    </row>
    <row r="133" spans="1:8" x14ac:dyDescent="0.25">
      <c r="A133" s="67"/>
      <c r="F133" s="64"/>
      <c r="H133" s="27"/>
    </row>
    <row r="134" spans="1:8" x14ac:dyDescent="0.25">
      <c r="A134" s="67"/>
      <c r="F134" s="64"/>
      <c r="H134" s="27"/>
    </row>
    <row r="135" spans="1:8" x14ac:dyDescent="0.25">
      <c r="A135" s="67"/>
      <c r="F135" s="64"/>
      <c r="H135" s="27"/>
    </row>
    <row r="136" spans="1:8" x14ac:dyDescent="0.25">
      <c r="A136" s="67"/>
      <c r="F136" s="64"/>
    </row>
    <row r="137" spans="1:8" x14ac:dyDescent="0.25">
      <c r="A137" s="67"/>
      <c r="D137" s="411"/>
      <c r="E137" s="411"/>
      <c r="F137" s="64"/>
    </row>
    <row r="138" spans="1:8" x14ac:dyDescent="0.25">
      <c r="A138" s="67"/>
      <c r="D138" s="411"/>
      <c r="E138" s="411"/>
      <c r="F138" s="64"/>
    </row>
    <row r="139" spans="1:8" x14ac:dyDescent="0.25">
      <c r="A139" s="67"/>
      <c r="D139" s="411"/>
      <c r="E139" s="411"/>
      <c r="F139" s="64"/>
    </row>
    <row r="140" spans="1:8" x14ac:dyDescent="0.25">
      <c r="A140" s="67"/>
      <c r="D140" s="411"/>
      <c r="E140" s="411"/>
      <c r="F140" s="64"/>
    </row>
    <row r="141" spans="1:8" x14ac:dyDescent="0.25">
      <c r="A141" s="67"/>
      <c r="B141" s="395"/>
      <c r="F141" s="64"/>
    </row>
    <row r="142" spans="1:8" x14ac:dyDescent="0.25">
      <c r="A142" s="68"/>
      <c r="B142" s="64"/>
      <c r="C142" s="64"/>
      <c r="F142" s="64"/>
    </row>
    <row r="143" spans="1:8" x14ac:dyDescent="0.25">
      <c r="B143" s="64"/>
      <c r="C143" s="64"/>
      <c r="F143" s="64"/>
    </row>
    <row r="144" spans="1:8" x14ac:dyDescent="0.25">
      <c r="B144" s="64"/>
      <c r="C144" s="64"/>
      <c r="F144" s="64"/>
    </row>
    <row r="145" spans="2:6" x14ac:dyDescent="0.25">
      <c r="B145" s="64"/>
      <c r="C145" s="64"/>
      <c r="F145" s="64"/>
    </row>
    <row r="146" spans="2:6" x14ac:dyDescent="0.25">
      <c r="B146" s="407"/>
      <c r="C146" s="64"/>
      <c r="F146" s="64"/>
    </row>
    <row r="147" spans="2:6" x14ac:dyDescent="0.25">
      <c r="B147" s="408"/>
      <c r="C147" s="64"/>
      <c r="F147" s="64"/>
    </row>
    <row r="148" spans="2:6" x14ac:dyDescent="0.25">
      <c r="B148" s="408"/>
      <c r="C148" s="64"/>
      <c r="F148" s="64"/>
    </row>
    <row r="149" spans="2:6" x14ac:dyDescent="0.25">
      <c r="B149" s="408"/>
      <c r="C149" s="64"/>
      <c r="F149" s="64"/>
    </row>
    <row r="150" spans="2:6" x14ac:dyDescent="0.25">
      <c r="B150" s="64"/>
      <c r="C150" s="64"/>
      <c r="F150" s="64"/>
    </row>
    <row r="151" spans="2:6" x14ac:dyDescent="0.25">
      <c r="B151" s="64"/>
      <c r="C151" s="64"/>
      <c r="F151" s="64"/>
    </row>
    <row r="152" spans="2:6" x14ac:dyDescent="0.25">
      <c r="B152" s="64"/>
      <c r="C152" s="64"/>
      <c r="F152" s="64"/>
    </row>
    <row r="153" spans="2:6" x14ac:dyDescent="0.25">
      <c r="B153" s="64"/>
      <c r="C153" s="64"/>
      <c r="F153" s="64"/>
    </row>
    <row r="154" spans="2:6" x14ac:dyDescent="0.25">
      <c r="B154" s="64"/>
      <c r="C154" s="64"/>
      <c r="F154" s="64"/>
    </row>
    <row r="155" spans="2:6" x14ac:dyDescent="0.25">
      <c r="B155" s="64"/>
      <c r="C155" s="64"/>
      <c r="F155" s="64"/>
    </row>
    <row r="156" spans="2:6" x14ac:dyDescent="0.25">
      <c r="B156" s="64"/>
      <c r="C156" s="64"/>
      <c r="F156" s="64"/>
    </row>
    <row r="157" spans="2:6" x14ac:dyDescent="0.25">
      <c r="B157" s="64"/>
      <c r="C157" s="64"/>
      <c r="F157" s="64"/>
    </row>
    <row r="158" spans="2:6" x14ac:dyDescent="0.25">
      <c r="B158" s="64"/>
      <c r="C158" s="64"/>
      <c r="F158" s="64"/>
    </row>
  </sheetData>
  <mergeCells count="4">
    <mergeCell ref="A51:E54"/>
    <mergeCell ref="A4:F4"/>
    <mergeCell ref="A67:E69"/>
    <mergeCell ref="A63:E65"/>
  </mergeCells>
  <phoneticPr fontId="4" type="noConversion"/>
  <pageMargins left="0.59055118110236227" right="0.59055118110236227" top="0.59055118110236227" bottom="0.78740157480314965" header="0.51181102362204722" footer="0.51181102362204722"/>
  <pageSetup paperSize="9" scale="80" orientation="portrait" r:id="rId1"/>
  <headerFooter alignWithMargins="0">
    <oddFooter>&amp;C&amp;F</oddFooter>
  </headerFooter>
  <customProperties>
    <customPr name="OrphanNamesChecked" r:id="rId2"/>
  </customProperties>
  <ignoredErrors>
    <ignoredError sqref="B26 B3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IW169"/>
  <sheetViews>
    <sheetView view="pageBreakPreview" topLeftCell="A78" zoomScaleNormal="100" zoomScaleSheetLayoutView="100" workbookViewId="0">
      <selection activeCell="C32" sqref="C32"/>
    </sheetView>
  </sheetViews>
  <sheetFormatPr defaultColWidth="9.109375" defaultRowHeight="13.2" x14ac:dyDescent="0.25"/>
  <cols>
    <col min="1" max="1" width="9.109375" style="258"/>
    <col min="2" max="2" width="7.44140625" style="278" customWidth="1"/>
    <col min="3" max="3" width="68.109375" style="258" bestFit="1" customWidth="1"/>
    <col min="4" max="4" width="15.5546875" style="260" bestFit="1" customWidth="1"/>
    <col min="5" max="5" width="14.5546875" style="260" customWidth="1"/>
    <col min="6" max="6" width="15.5546875" style="260" bestFit="1" customWidth="1"/>
    <col min="7" max="7" width="9.44140625" style="261" bestFit="1" customWidth="1"/>
    <col min="8" max="8" width="11" style="261" bestFit="1" customWidth="1"/>
    <col min="9" max="9" width="16.44140625" style="260" bestFit="1" customWidth="1"/>
    <col min="10" max="10" width="14.5546875" style="260" customWidth="1"/>
    <col min="11" max="11" width="15.5546875" style="260" bestFit="1" customWidth="1"/>
    <col min="12" max="13" width="15.5546875" style="260" customWidth="1"/>
    <col min="14" max="14" width="16.21875" style="262" customWidth="1"/>
    <col min="15" max="15" width="14" style="262" bestFit="1" customWidth="1"/>
    <col min="16" max="19" width="11.44140625" style="258" customWidth="1"/>
    <col min="20" max="21" width="9.5546875" style="258" bestFit="1" customWidth="1"/>
    <col min="22" max="257" width="11.44140625" style="258" customWidth="1"/>
    <col min="258" max="16384" width="9.109375" style="258"/>
  </cols>
  <sheetData>
    <row r="1" spans="1:15" x14ac:dyDescent="0.25">
      <c r="A1" s="259" t="str">
        <f>'weerhouden waarde'!A1</f>
        <v>[NAAM VENNOOTSCHAP]</v>
      </c>
      <c r="B1" s="259"/>
    </row>
    <row r="2" spans="1:15" x14ac:dyDescent="0.25">
      <c r="B2" s="258"/>
      <c r="C2" s="260"/>
      <c r="D2" s="263"/>
      <c r="E2" s="263"/>
      <c r="F2" s="258"/>
      <c r="G2" s="258"/>
      <c r="H2" s="258"/>
      <c r="I2" s="258"/>
      <c r="J2" s="258"/>
      <c r="K2" s="258"/>
      <c r="L2" s="258"/>
      <c r="M2" s="258"/>
      <c r="N2" s="258"/>
      <c r="O2" s="258"/>
    </row>
    <row r="3" spans="1:15" x14ac:dyDescent="0.25">
      <c r="B3" s="258"/>
      <c r="C3" s="260"/>
      <c r="D3" s="263"/>
      <c r="E3" s="263"/>
      <c r="F3" s="258"/>
      <c r="G3" s="258"/>
      <c r="H3" s="258"/>
      <c r="I3" s="258"/>
      <c r="J3" s="258"/>
      <c r="K3" s="258"/>
      <c r="L3" s="258"/>
      <c r="M3" s="258"/>
      <c r="N3" s="258"/>
      <c r="O3" s="258"/>
    </row>
    <row r="4" spans="1:15" x14ac:dyDescent="0.25">
      <c r="A4" s="276" t="str">
        <f>'weerhouden waarde'!A6</f>
        <v>Toestand op [afsluitdatum] (afsluitdatum)</v>
      </c>
      <c r="B4" s="258"/>
      <c r="C4" s="260"/>
      <c r="D4" s="263"/>
      <c r="E4" s="263"/>
      <c r="F4" s="258"/>
      <c r="G4" s="258"/>
      <c r="H4" s="258"/>
      <c r="I4" s="258"/>
      <c r="J4" s="258"/>
      <c r="K4" s="258"/>
      <c r="L4" s="258"/>
      <c r="M4" s="258"/>
      <c r="N4" s="258"/>
      <c r="O4" s="258"/>
    </row>
    <row r="5" spans="1:15" x14ac:dyDescent="0.25">
      <c r="B5" s="258"/>
      <c r="C5" s="260"/>
      <c r="D5" s="263"/>
      <c r="E5" s="263"/>
      <c r="F5" s="258"/>
      <c r="G5" s="258"/>
      <c r="H5" s="258"/>
      <c r="I5" s="258"/>
      <c r="J5" s="258"/>
      <c r="K5" s="258"/>
      <c r="L5" s="258"/>
      <c r="M5" s="258"/>
      <c r="N5" s="258"/>
      <c r="O5" s="258"/>
    </row>
    <row r="6" spans="1:15" x14ac:dyDescent="0.25">
      <c r="B6" s="259" t="s">
        <v>82</v>
      </c>
      <c r="F6" s="262"/>
      <c r="G6" s="258"/>
      <c r="H6" s="258"/>
      <c r="I6" s="258"/>
      <c r="J6" s="258"/>
      <c r="K6" s="258"/>
      <c r="L6" s="258"/>
      <c r="M6" s="258"/>
      <c r="N6" s="258"/>
      <c r="O6" s="258"/>
    </row>
    <row r="7" spans="1:15" x14ac:dyDescent="0.25">
      <c r="B7" s="264"/>
      <c r="E7" s="151"/>
      <c r="H7" s="266"/>
    </row>
    <row r="8" spans="1:15" x14ac:dyDescent="0.25">
      <c r="B8" s="258"/>
    </row>
    <row r="9" spans="1:15" s="267" customFormat="1" x14ac:dyDescent="0.25">
      <c r="A9" s="267" t="s">
        <v>83</v>
      </c>
      <c r="B9" s="268" t="s">
        <v>84</v>
      </c>
      <c r="C9" s="267" t="s">
        <v>85</v>
      </c>
      <c r="D9" s="269" t="s">
        <v>86</v>
      </c>
      <c r="E9" s="269" t="s">
        <v>87</v>
      </c>
      <c r="F9" s="269" t="s">
        <v>88</v>
      </c>
      <c r="G9" s="270" t="s">
        <v>89</v>
      </c>
      <c r="H9" s="270" t="s">
        <v>90</v>
      </c>
      <c r="I9" s="269" t="s">
        <v>91</v>
      </c>
      <c r="J9" s="269" t="s">
        <v>92</v>
      </c>
      <c r="K9" s="269" t="s">
        <v>93</v>
      </c>
      <c r="L9" s="269" t="s">
        <v>94</v>
      </c>
      <c r="M9" s="269" t="s">
        <v>95</v>
      </c>
      <c r="N9" s="269" t="s">
        <v>96</v>
      </c>
      <c r="O9" s="283"/>
    </row>
    <row r="10" spans="1:15" x14ac:dyDescent="0.25">
      <c r="B10" s="264"/>
      <c r="E10" s="151"/>
      <c r="H10" s="284"/>
      <c r="N10" s="260"/>
    </row>
    <row r="11" spans="1:15" x14ac:dyDescent="0.25">
      <c r="B11" s="264"/>
      <c r="C11" s="265" t="s">
        <v>97</v>
      </c>
      <c r="E11" s="151"/>
      <c r="H11" s="266"/>
      <c r="N11" s="260"/>
    </row>
    <row r="12" spans="1:15" x14ac:dyDescent="0.25">
      <c r="B12" s="264"/>
      <c r="C12" s="265"/>
      <c r="E12" s="151"/>
      <c r="H12" s="266"/>
      <c r="N12" s="260"/>
    </row>
    <row r="13" spans="1:15" x14ac:dyDescent="0.25">
      <c r="B13" s="264"/>
      <c r="C13" s="271" t="s">
        <v>98</v>
      </c>
      <c r="E13" s="151"/>
      <c r="H13" s="266"/>
      <c r="N13" s="260"/>
    </row>
    <row r="14" spans="1:15" x14ac:dyDescent="0.25">
      <c r="B14" s="264"/>
      <c r="C14" s="272"/>
      <c r="E14" s="151"/>
      <c r="H14" s="266"/>
      <c r="N14" s="260"/>
    </row>
    <row r="15" spans="1:15" x14ac:dyDescent="0.25">
      <c r="B15" s="285"/>
      <c r="C15" s="662" t="s">
        <v>99</v>
      </c>
      <c r="D15" s="273"/>
      <c r="E15" s="287"/>
      <c r="F15" s="287"/>
      <c r="G15" s="287"/>
      <c r="H15" s="287"/>
      <c r="I15" s="287"/>
      <c r="J15" s="287"/>
      <c r="K15" s="287"/>
      <c r="L15" s="273"/>
      <c r="M15" s="273"/>
      <c r="N15" s="273"/>
    </row>
    <row r="16" spans="1:15" x14ac:dyDescent="0.25">
      <c r="B16" s="285"/>
      <c r="C16" s="286"/>
      <c r="D16" s="273"/>
      <c r="E16" s="287"/>
      <c r="F16" s="287"/>
      <c r="G16" s="287"/>
      <c r="H16" s="287"/>
      <c r="I16" s="287"/>
      <c r="J16" s="287"/>
      <c r="K16" s="287"/>
      <c r="L16" s="273"/>
      <c r="M16" s="273"/>
      <c r="N16" s="273"/>
    </row>
    <row r="17" spans="2:14" x14ac:dyDescent="0.25">
      <c r="B17" s="285"/>
      <c r="C17" s="286"/>
      <c r="D17" s="273"/>
      <c r="E17" s="287"/>
      <c r="F17" s="287"/>
      <c r="G17" s="287"/>
      <c r="H17" s="287"/>
      <c r="I17" s="287"/>
      <c r="J17" s="287"/>
      <c r="K17" s="287"/>
      <c r="L17" s="273"/>
      <c r="M17" s="273"/>
      <c r="N17" s="273"/>
    </row>
    <row r="18" spans="2:14" x14ac:dyDescent="0.25">
      <c r="B18" s="285"/>
      <c r="C18" s="286"/>
      <c r="D18" s="273"/>
      <c r="E18" s="287"/>
      <c r="F18" s="287"/>
      <c r="G18" s="287"/>
      <c r="H18" s="287"/>
      <c r="I18" s="287"/>
      <c r="J18" s="287"/>
      <c r="K18" s="287"/>
      <c r="L18" s="273"/>
      <c r="M18" s="273"/>
      <c r="N18" s="273"/>
    </row>
    <row r="19" spans="2:14" x14ac:dyDescent="0.25">
      <c r="B19" s="285"/>
      <c r="C19" s="286"/>
      <c r="D19" s="273"/>
      <c r="E19" s="287"/>
      <c r="F19" s="287"/>
      <c r="G19" s="287"/>
      <c r="H19" s="287"/>
      <c r="I19" s="287"/>
      <c r="J19" s="287"/>
      <c r="K19" s="287"/>
      <c r="L19" s="273"/>
      <c r="M19" s="273"/>
      <c r="N19" s="273"/>
    </row>
    <row r="20" spans="2:14" x14ac:dyDescent="0.25">
      <c r="B20" s="285"/>
      <c r="C20" s="286"/>
      <c r="D20" s="273"/>
      <c r="E20" s="287"/>
      <c r="F20" s="287"/>
      <c r="G20" s="287"/>
      <c r="H20" s="287"/>
      <c r="I20" s="287"/>
      <c r="J20" s="287"/>
      <c r="K20" s="287"/>
      <c r="L20" s="273"/>
      <c r="M20" s="273"/>
      <c r="N20" s="273"/>
    </row>
    <row r="21" spans="2:14" x14ac:dyDescent="0.25">
      <c r="B21" s="285"/>
      <c r="C21" s="286"/>
      <c r="D21" s="273"/>
      <c r="E21" s="287"/>
      <c r="F21" s="287"/>
      <c r="G21" s="287"/>
      <c r="H21" s="287"/>
      <c r="I21" s="287"/>
      <c r="J21" s="287"/>
      <c r="K21" s="287"/>
      <c r="L21" s="273"/>
      <c r="M21" s="273"/>
      <c r="N21" s="273"/>
    </row>
    <row r="22" spans="2:14" x14ac:dyDescent="0.25">
      <c r="B22" s="285"/>
      <c r="C22" s="286"/>
      <c r="D22" s="273"/>
      <c r="E22" s="287"/>
      <c r="F22" s="287"/>
      <c r="G22" s="287"/>
      <c r="H22" s="287"/>
      <c r="I22" s="287"/>
      <c r="J22" s="287"/>
      <c r="K22" s="287"/>
      <c r="L22" s="273"/>
      <c r="M22" s="273"/>
      <c r="N22" s="273"/>
    </row>
    <row r="23" spans="2:14" x14ac:dyDescent="0.25">
      <c r="B23" s="285"/>
      <c r="C23" s="286"/>
      <c r="D23" s="273"/>
      <c r="E23" s="287"/>
      <c r="F23" s="287"/>
      <c r="G23" s="287"/>
      <c r="H23" s="287"/>
      <c r="I23" s="287"/>
      <c r="J23" s="287"/>
      <c r="K23" s="287"/>
      <c r="L23" s="273"/>
      <c r="M23" s="273"/>
      <c r="N23" s="273"/>
    </row>
    <row r="24" spans="2:14" x14ac:dyDescent="0.25">
      <c r="B24" s="285"/>
      <c r="C24" s="286"/>
      <c r="D24" s="273"/>
      <c r="E24" s="287"/>
      <c r="F24" s="287"/>
      <c r="G24" s="287"/>
      <c r="H24" s="287"/>
      <c r="I24" s="287"/>
      <c r="J24" s="287"/>
      <c r="K24" s="287"/>
      <c r="L24" s="273"/>
      <c r="M24" s="273"/>
      <c r="N24" s="273"/>
    </row>
    <row r="25" spans="2:14" x14ac:dyDescent="0.25">
      <c r="B25" s="285"/>
      <c r="C25" s="286"/>
      <c r="D25" s="273"/>
      <c r="E25" s="287"/>
      <c r="F25" s="287"/>
      <c r="G25" s="287"/>
      <c r="H25" s="287"/>
      <c r="I25" s="287"/>
      <c r="J25" s="287"/>
      <c r="K25" s="287"/>
      <c r="L25" s="273"/>
      <c r="M25" s="273"/>
      <c r="N25" s="273"/>
    </row>
    <row r="26" spans="2:14" x14ac:dyDescent="0.25">
      <c r="B26" s="285"/>
      <c r="C26" s="286"/>
      <c r="D26" s="273"/>
      <c r="E26" s="287"/>
      <c r="F26" s="287"/>
      <c r="G26" s="287"/>
      <c r="H26" s="287"/>
      <c r="I26" s="287"/>
      <c r="J26" s="287"/>
      <c r="K26" s="287"/>
      <c r="L26" s="273"/>
      <c r="M26" s="273"/>
      <c r="N26" s="273"/>
    </row>
    <row r="27" spans="2:14" x14ac:dyDescent="0.25">
      <c r="B27" s="285"/>
      <c r="C27" s="286"/>
      <c r="D27" s="273"/>
      <c r="E27" s="287"/>
      <c r="F27" s="287"/>
      <c r="G27" s="287"/>
      <c r="H27" s="287"/>
      <c r="I27" s="287"/>
      <c r="J27" s="287"/>
      <c r="K27" s="287"/>
      <c r="L27" s="273"/>
      <c r="M27" s="273"/>
      <c r="N27" s="273"/>
    </row>
    <row r="28" spans="2:14" x14ac:dyDescent="0.25">
      <c r="B28" s="285"/>
      <c r="C28" s="286"/>
      <c r="D28" s="273"/>
      <c r="E28" s="287"/>
      <c r="F28" s="287"/>
      <c r="G28" s="287"/>
      <c r="H28" s="287"/>
      <c r="I28" s="287"/>
      <c r="J28" s="287"/>
      <c r="K28" s="287"/>
      <c r="L28" s="273"/>
      <c r="M28" s="273"/>
      <c r="N28" s="273"/>
    </row>
    <row r="29" spans="2:14" x14ac:dyDescent="0.25">
      <c r="B29" s="285"/>
      <c r="C29" s="286"/>
      <c r="D29" s="273"/>
      <c r="E29" s="287"/>
      <c r="F29" s="287"/>
      <c r="G29" s="287"/>
      <c r="H29" s="287"/>
      <c r="I29" s="287"/>
      <c r="J29" s="287"/>
      <c r="K29" s="287"/>
      <c r="L29" s="273"/>
      <c r="M29" s="273"/>
      <c r="N29" s="273"/>
    </row>
    <row r="30" spans="2:14" x14ac:dyDescent="0.25">
      <c r="B30" s="285"/>
      <c r="C30" s="286"/>
      <c r="D30" s="663">
        <f>SUM(D16:D29)</f>
        <v>0.0</v>
      </c>
      <c r="E30" s="287"/>
      <c r="F30" s="287"/>
      <c r="G30" s="287"/>
      <c r="H30" s="287"/>
      <c r="I30" s="287"/>
      <c r="J30" s="287"/>
      <c r="K30" s="743">
        <f>IF(D43="",L30,ROUND(D43,-3))</f>
        <v>0.0</v>
      </c>
      <c r="L30" s="663"/>
      <c r="M30" s="663">
        <f>K30-L30</f>
        <v>0.0</v>
      </c>
      <c r="N30" s="663"/>
    </row>
    <row r="31" spans="2:14" x14ac:dyDescent="0.25">
      <c r="B31" s="285"/>
      <c r="C31" s="286"/>
      <c r="D31" s="273"/>
      <c r="E31" s="287"/>
      <c r="F31" s="287"/>
      <c r="G31" s="287"/>
      <c r="H31" s="287"/>
      <c r="I31" s="287"/>
      <c r="J31" s="287"/>
      <c r="K31" s="287"/>
      <c r="L31" s="273"/>
      <c r="M31" s="273"/>
      <c r="N31" s="273"/>
    </row>
    <row r="32" spans="2:14" x14ac:dyDescent="0.25">
      <c r="B32" s="264"/>
      <c r="D32" s="274"/>
      <c r="E32" s="274"/>
      <c r="F32" s="274"/>
      <c r="G32" s="288"/>
      <c r="H32" s="288"/>
      <c r="I32" s="289"/>
      <c r="J32" s="289"/>
      <c r="K32" s="289"/>
      <c r="L32" s="289"/>
      <c r="M32" s="289"/>
      <c r="N32" s="289"/>
    </row>
    <row r="33" spans="2:15" x14ac:dyDescent="0.25">
      <c r="B33" s="720"/>
      <c r="C33" s="721" t="s">
        <v>100</v>
      </c>
      <c r="D33" s="722">
        <f>D30</f>
        <v>0.0</v>
      </c>
      <c r="E33" s="723"/>
      <c r="F33" s="722"/>
      <c r="G33" s="724"/>
      <c r="H33" s="725"/>
      <c r="I33" s="722"/>
      <c r="J33" s="727" t="s">
        <v>62</v>
      </c>
      <c r="K33" s="722">
        <f>K30</f>
        <v>0.0</v>
      </c>
      <c r="L33" s="722">
        <f>L30</f>
        <v>0.0</v>
      </c>
      <c r="M33" s="726">
        <f>K33-L33</f>
        <v>0.0</v>
      </c>
      <c r="N33" s="726"/>
    </row>
    <row r="34" spans="2:15" x14ac:dyDescent="0.25">
      <c r="B34" s="264"/>
      <c r="E34" s="151"/>
      <c r="H34" s="266"/>
      <c r="N34" s="260"/>
    </row>
    <row r="35" spans="2:15" ht="13.8" thickBot="1" x14ac:dyDescent="0.3">
      <c r="B35" s="401"/>
      <c r="E35" s="151"/>
      <c r="H35" s="266"/>
      <c r="L35" s="282" t="s">
        <v>101</v>
      </c>
      <c r="M35" s="790">
        <f>ROUND(M33,-3)</f>
        <v>0.0</v>
      </c>
      <c r="N35" s="790"/>
    </row>
    <row r="36" spans="2:15" x14ac:dyDescent="0.25">
      <c r="B36" s="728" t="s">
        <v>62</v>
      </c>
      <c r="C36" s="729" t="s">
        <v>102</v>
      </c>
      <c r="D36" s="730"/>
      <c r="E36" s="731"/>
      <c r="F36" s="730"/>
      <c r="G36" s="732"/>
      <c r="H36" s="733"/>
      <c r="I36" s="440"/>
      <c r="N36" s="260"/>
    </row>
    <row r="37" spans="2:15" x14ac:dyDescent="0.25">
      <c r="B37" s="441"/>
      <c r="C37" s="734"/>
      <c r="D37" s="735"/>
      <c r="E37" s="442"/>
      <c r="F37" s="735"/>
      <c r="G37" s="736"/>
      <c r="H37" s="737"/>
      <c r="I37" s="443"/>
      <c r="N37" s="260"/>
    </row>
    <row r="38" spans="2:15" x14ac:dyDescent="0.25">
      <c r="B38" s="738"/>
      <c r="C38" s="734" t="s">
        <v>103</v>
      </c>
      <c r="D38" s="735"/>
      <c r="E38" s="664" t="s">
        <v>104</v>
      </c>
      <c r="F38" s="735"/>
      <c r="G38" s="736"/>
      <c r="H38" s="737"/>
      <c r="I38" s="443"/>
      <c r="N38" s="260"/>
    </row>
    <row r="39" spans="2:15" x14ac:dyDescent="0.25">
      <c r="B39" s="441"/>
      <c r="C39" s="739" t="s">
        <v>105</v>
      </c>
      <c r="D39" s="735"/>
      <c r="E39" s="442"/>
      <c r="F39" s="735"/>
      <c r="G39" s="736"/>
      <c r="H39" s="737"/>
      <c r="I39" s="443"/>
      <c r="N39" s="260"/>
    </row>
    <row r="40" spans="2:15" x14ac:dyDescent="0.25">
      <c r="B40" s="441"/>
      <c r="C40" s="734"/>
      <c r="D40" s="735"/>
      <c r="E40" s="735"/>
      <c r="F40" s="735"/>
      <c r="G40" s="736"/>
      <c r="H40" s="737"/>
      <c r="I40" s="443"/>
      <c r="N40" s="260"/>
    </row>
    <row r="41" spans="2:15" x14ac:dyDescent="0.25">
      <c r="B41" s="441"/>
      <c r="C41" s="739" t="s">
        <v>106</v>
      </c>
      <c r="D41" s="735"/>
      <c r="E41" s="735"/>
      <c r="F41" s="735"/>
      <c r="G41" s="736"/>
      <c r="H41" s="737"/>
      <c r="I41" s="443"/>
      <c r="N41" s="260"/>
    </row>
    <row r="42" spans="2:15" x14ac:dyDescent="0.25">
      <c r="B42" s="441"/>
      <c r="C42" s="739"/>
      <c r="D42" s="735"/>
      <c r="E42" s="740"/>
      <c r="F42" s="735"/>
      <c r="G42" s="736"/>
      <c r="H42" s="737"/>
      <c r="I42" s="443"/>
      <c r="N42" s="260"/>
    </row>
    <row r="43" spans="2:15" ht="13.8" thickBot="1" x14ac:dyDescent="0.3">
      <c r="B43" s="441"/>
      <c r="C43" s="741" t="s">
        <v>107</v>
      </c>
      <c r="D43" s="742" t="str">
        <f>IF(D38="","",D38*IF(D41="",1,D41))</f>
        <v/>
      </c>
      <c r="E43" s="735"/>
      <c r="F43" s="735"/>
      <c r="G43" s="736"/>
      <c r="H43" s="737"/>
      <c r="I43" s="443"/>
      <c r="N43" s="260"/>
    </row>
    <row r="44" spans="2:15" x14ac:dyDescent="0.25">
      <c r="B44" s="445"/>
      <c r="C44" s="446"/>
      <c r="D44" s="444"/>
      <c r="E44" s="444"/>
      <c r="F44" s="444"/>
      <c r="G44" s="447"/>
      <c r="H44" s="447"/>
      <c r="I44" s="448"/>
      <c r="N44" s="260"/>
    </row>
    <row r="45" spans="2:15" x14ac:dyDescent="0.25">
      <c r="N45" s="260"/>
    </row>
    <row r="46" spans="2:15" x14ac:dyDescent="0.25">
      <c r="C46" s="265" t="s">
        <v>108</v>
      </c>
      <c r="D46" s="280"/>
      <c r="E46" s="280"/>
      <c r="F46" s="280"/>
      <c r="G46" s="280"/>
      <c r="H46" s="280"/>
      <c r="I46" s="280"/>
      <c r="J46" s="280"/>
      <c r="K46" s="280"/>
      <c r="L46" s="280"/>
      <c r="M46" s="280"/>
      <c r="N46" s="280"/>
      <c r="O46" s="258"/>
    </row>
    <row r="47" spans="2:15" x14ac:dyDescent="0.25">
      <c r="C47" s="262"/>
      <c r="D47" s="280"/>
      <c r="E47" s="280"/>
      <c r="F47" s="280"/>
      <c r="G47" s="280"/>
      <c r="H47" s="280"/>
      <c r="I47" s="280"/>
      <c r="J47" s="280"/>
      <c r="K47" s="280"/>
      <c r="L47" s="280"/>
      <c r="M47" s="280"/>
      <c r="N47" s="280"/>
      <c r="O47" s="258"/>
    </row>
    <row r="48" spans="2:15" x14ac:dyDescent="0.25">
      <c r="C48" s="271" t="s">
        <v>109</v>
      </c>
      <c r="D48" s="280"/>
      <c r="E48" s="280"/>
      <c r="F48" s="280"/>
      <c r="G48" s="280"/>
      <c r="H48" s="280"/>
      <c r="I48" s="280"/>
      <c r="J48" s="280"/>
      <c r="K48" s="280"/>
      <c r="L48" s="280"/>
      <c r="M48" s="280"/>
      <c r="N48" s="280"/>
      <c r="O48" s="258"/>
    </row>
    <row r="49" spans="1:15" x14ac:dyDescent="0.25">
      <c r="C49" s="275" t="s">
        <v>110</v>
      </c>
      <c r="D49" s="280"/>
      <c r="E49" s="280"/>
      <c r="F49" s="280"/>
      <c r="G49" s="280"/>
      <c r="H49" s="280"/>
      <c r="I49" s="290"/>
      <c r="J49" s="280"/>
      <c r="K49" s="290"/>
      <c r="L49" s="290"/>
      <c r="M49" s="290"/>
      <c r="N49" s="290"/>
      <c r="O49" s="258"/>
    </row>
    <row r="50" spans="1:15" x14ac:dyDescent="0.25">
      <c r="A50" s="248"/>
      <c r="B50" s="285"/>
      <c r="C50" s="403"/>
      <c r="D50" s="291"/>
      <c r="E50" s="292">
        <f>D50*0</f>
        <v>0.0</v>
      </c>
      <c r="F50" s="273">
        <f>D50-E50</f>
        <v>0.0</v>
      </c>
      <c r="G50" s="293">
        <v>5</v>
      </c>
      <c r="H50" s="293">
        <f>IF(B50="",G50,IF($H$7-B50&gt;G50,G50,$H$7-B50))</f>
        <v>5.0</v>
      </c>
      <c r="I50" s="291">
        <f>F50/G50*H50</f>
        <v>0.0</v>
      </c>
      <c r="J50" s="291">
        <f>D50-I50</f>
        <v>0.0</v>
      </c>
      <c r="K50" s="291">
        <f>J50</f>
        <v>0.0</v>
      </c>
      <c r="L50" s="291"/>
      <c r="M50" s="291"/>
      <c r="N50" s="291"/>
      <c r="O50" s="258"/>
    </row>
    <row r="51" spans="1:15" x14ac:dyDescent="0.25">
      <c r="A51" s="248"/>
      <c r="B51" s="285"/>
      <c r="C51" s="403"/>
      <c r="D51" s="291"/>
      <c r="E51" s="292">
        <f>D51*0</f>
        <v>0.0</v>
      </c>
      <c r="F51" s="273">
        <f>D51-E51</f>
        <v>0.0</v>
      </c>
      <c r="G51" s="293">
        <v>5</v>
      </c>
      <c r="H51" s="293">
        <f>IF(B51="",G51,IF($H$7-B51&gt;G51,G51,$H$7-B51))</f>
        <v>5.0</v>
      </c>
      <c r="I51" s="291">
        <f>F51/G51*H51</f>
        <v>0.0</v>
      </c>
      <c r="J51" s="291">
        <f>D51-I51</f>
        <v>0.0</v>
      </c>
      <c r="K51" s="291">
        <f>J51</f>
        <v>0.0</v>
      </c>
      <c r="L51" s="291"/>
      <c r="M51" s="291"/>
      <c r="N51" s="291"/>
      <c r="O51" s="258"/>
    </row>
    <row r="52" spans="1:15" x14ac:dyDescent="0.25">
      <c r="A52" s="248"/>
      <c r="B52" s="285"/>
      <c r="C52" s="403"/>
      <c r="D52" s="291"/>
      <c r="E52" s="292">
        <f>D52*0</f>
        <v>0.0</v>
      </c>
      <c r="F52" s="273">
        <f>D52-E52</f>
        <v>0.0</v>
      </c>
      <c r="G52" s="293">
        <v>5</v>
      </c>
      <c r="H52" s="293">
        <f>IF(B52="",G52,IF($H$7-B52&gt;G52,G52,$H$7-B52))</f>
        <v>5.0</v>
      </c>
      <c r="I52" s="291">
        <f>F52/G52*H52</f>
        <v>0.0</v>
      </c>
      <c r="J52" s="291">
        <f>D52-I52</f>
        <v>0.0</v>
      </c>
      <c r="K52" s="291">
        <f>J52</f>
        <v>0.0</v>
      </c>
      <c r="L52" s="291"/>
      <c r="M52" s="291"/>
      <c r="N52" s="291"/>
      <c r="O52" s="258"/>
    </row>
    <row r="53" spans="1:15" x14ac:dyDescent="0.25">
      <c r="A53" s="248"/>
      <c r="B53" s="285"/>
      <c r="C53" s="403"/>
      <c r="D53" s="291"/>
      <c r="E53" s="292">
        <f>D53*0</f>
        <v>0.0</v>
      </c>
      <c r="F53" s="273">
        <f>D53-E53</f>
        <v>0.0</v>
      </c>
      <c r="G53" s="293">
        <v>5</v>
      </c>
      <c r="H53" s="293">
        <f>IF(B53="",G53,IF($H$7-B53&gt;G53,G53,$H$7-B53))</f>
        <v>5.0</v>
      </c>
      <c r="I53" s="291">
        <f>F53/G53*H53</f>
        <v>0.0</v>
      </c>
      <c r="J53" s="291">
        <f>D53-I53</f>
        <v>0.0</v>
      </c>
      <c r="K53" s="291">
        <f>J53</f>
        <v>0.0</v>
      </c>
      <c r="L53" s="291"/>
      <c r="M53" s="291"/>
      <c r="N53" s="291"/>
      <c r="O53" s="258"/>
    </row>
    <row r="54" spans="1:15" x14ac:dyDescent="0.25">
      <c r="B54" s="285"/>
      <c r="C54" s="278"/>
      <c r="D54" s="291"/>
      <c r="E54" s="292">
        <f>D54*0</f>
        <v>0.0</v>
      </c>
      <c r="F54" s="273">
        <f>D54-E54</f>
        <v>0.0</v>
      </c>
      <c r="G54" s="293">
        <v>5</v>
      </c>
      <c r="H54" s="293">
        <f>IF(B54="",G54,IF($H$7-B54&gt;G54,G54,$H$7-B54))</f>
        <v>5.0</v>
      </c>
      <c r="I54" s="291">
        <f>F54/G54*H54</f>
        <v>0.0</v>
      </c>
      <c r="J54" s="291">
        <f>D54-I54</f>
        <v>0.0</v>
      </c>
      <c r="K54" s="291">
        <f>J54</f>
        <v>0.0</v>
      </c>
      <c r="L54" s="294"/>
      <c r="M54" s="294"/>
      <c r="N54" s="294"/>
      <c r="O54" s="258"/>
    </row>
    <row r="55" spans="1:15" s="276" customFormat="1" x14ac:dyDescent="0.25">
      <c r="B55" s="279"/>
      <c r="C55" s="279"/>
      <c r="D55" s="394">
        <f>SUM(D50:D54)</f>
        <v>0.0</v>
      </c>
      <c r="E55" s="394">
        <f>SUM(E50:E54)</f>
        <v>0.0</v>
      </c>
      <c r="F55" s="394">
        <f>SUM(F50:F54)</f>
        <v>0.0</v>
      </c>
      <c r="G55" s="394"/>
      <c r="H55" s="394"/>
      <c r="I55" s="394">
        <f>SUM(I50:I54)</f>
        <v>0.0</v>
      </c>
      <c r="J55" s="394">
        <f>SUM(J50:J54)</f>
        <v>0.0</v>
      </c>
      <c r="K55" s="394">
        <f>SUM(K50:K54)</f>
        <v>0.0</v>
      </c>
      <c r="L55" s="823"/>
      <c r="M55" s="823">
        <f>K55-L55</f>
        <v>0.0</v>
      </c>
      <c r="N55" s="823">
        <f>F55/G50</f>
        <v>0.0</v>
      </c>
      <c r="O55" s="277"/>
    </row>
    <row r="56" spans="1:15" x14ac:dyDescent="0.25">
      <c r="C56" s="275"/>
      <c r="D56" s="295"/>
      <c r="E56" s="280"/>
      <c r="F56" s="280"/>
      <c r="G56" s="280"/>
      <c r="H56" s="280"/>
      <c r="I56" s="280"/>
      <c r="J56" s="280"/>
      <c r="K56" s="290"/>
      <c r="L56" s="290"/>
      <c r="M56" s="290"/>
      <c r="N56" s="290"/>
      <c r="O56" s="258"/>
    </row>
    <row r="57" spans="1:15" x14ac:dyDescent="0.25">
      <c r="C57" s="275"/>
      <c r="D57" s="295"/>
      <c r="E57" s="280"/>
      <c r="F57" s="280"/>
      <c r="G57" s="280"/>
      <c r="H57" s="280"/>
      <c r="I57" s="280"/>
      <c r="J57" s="280"/>
      <c r="K57" s="290"/>
      <c r="L57" s="290"/>
      <c r="M57" s="290"/>
      <c r="N57" s="290"/>
      <c r="O57" s="258"/>
    </row>
    <row r="58" spans="1:15" x14ac:dyDescent="0.25">
      <c r="C58" s="271" t="s">
        <v>111</v>
      </c>
      <c r="D58" s="280"/>
      <c r="E58" s="280"/>
      <c r="F58" s="280"/>
      <c r="G58" s="280"/>
      <c r="H58" s="280"/>
      <c r="I58" s="280"/>
      <c r="J58" s="280"/>
      <c r="K58" s="280"/>
      <c r="L58" s="280"/>
      <c r="M58" s="280"/>
      <c r="N58" s="280"/>
      <c r="O58" s="258"/>
    </row>
    <row r="59" spans="1:15" x14ac:dyDescent="0.25">
      <c r="C59" s="275" t="s">
        <v>112</v>
      </c>
      <c r="D59" s="280"/>
      <c r="E59" s="280"/>
      <c r="F59" s="280"/>
      <c r="G59" s="280"/>
      <c r="H59" s="280"/>
      <c r="I59" s="290"/>
      <c r="J59" s="280"/>
      <c r="K59" s="290"/>
      <c r="L59" s="290"/>
      <c r="M59" s="290"/>
      <c r="N59" s="290"/>
      <c r="O59" s="258"/>
    </row>
    <row r="60" spans="1:15" x14ac:dyDescent="0.25">
      <c r="B60" s="285"/>
      <c r="C60" s="404"/>
      <c r="D60" s="821"/>
      <c r="E60" s="821">
        <f>D60*IF(B60&gt;2018,10%,0)</f>
        <v>0.0</v>
      </c>
      <c r="F60" s="824">
        <f>D60-E60</f>
        <v>0.0</v>
      </c>
      <c r="G60" s="293">
        <v>7</v>
      </c>
      <c r="H60" s="293">
        <f>IF(B60="",G60,IF($H$7-B60&gt;G60,G60,$H$7-B60))</f>
        <v>7.0</v>
      </c>
      <c r="I60" s="824">
        <f>F60/G60*H60</f>
        <v>0.0</v>
      </c>
      <c r="J60" s="824">
        <f>D60-I60</f>
        <v>0.0</v>
      </c>
      <c r="K60" s="824">
        <f>J60</f>
        <v>0.0</v>
      </c>
      <c r="L60" s="291"/>
      <c r="M60" s="291"/>
      <c r="N60" s="291"/>
      <c r="O60" s="258"/>
    </row>
    <row r="61" spans="1:15" x14ac:dyDescent="0.25">
      <c r="B61" s="285"/>
      <c r="C61" s="404"/>
      <c r="D61" s="821"/>
      <c r="E61" s="821">
        <f>D61*IF(B61&gt;2018,10%,0)</f>
        <v>0.0</v>
      </c>
      <c r="F61" s="824">
        <f>D61-E61</f>
        <v>0.0</v>
      </c>
      <c r="G61" s="293">
        <v>7</v>
      </c>
      <c r="H61" s="293">
        <f>IF(B61="",G61,IF($H$7-B61&gt;G61,G61,$H$7-B61))</f>
        <v>7.0</v>
      </c>
      <c r="I61" s="824">
        <f>F61/G61*H61</f>
        <v>0.0</v>
      </c>
      <c r="J61" s="824">
        <f>D61-I61</f>
        <v>0.0</v>
      </c>
      <c r="K61" s="824">
        <f>J61</f>
        <v>0.0</v>
      </c>
      <c r="L61" s="291"/>
      <c r="M61" s="291"/>
      <c r="N61" s="291"/>
      <c r="O61" s="258"/>
    </row>
    <row r="62" spans="1:15" x14ac:dyDescent="0.25">
      <c r="B62" s="285"/>
      <c r="C62" s="404"/>
      <c r="D62" s="821"/>
      <c r="E62" s="821">
        <f>D62*IF(B62&gt;2018,10%,0)</f>
        <v>0.0</v>
      </c>
      <c r="F62" s="824">
        <f>D62-E62</f>
        <v>0.0</v>
      </c>
      <c r="G62" s="293">
        <v>7</v>
      </c>
      <c r="H62" s="293">
        <f>IF(B62="",G62,IF($H$7-B62&gt;G62,G62,$H$7-B62))</f>
        <v>7.0</v>
      </c>
      <c r="I62" s="824">
        <f>F62/G62*H62</f>
        <v>0.0</v>
      </c>
      <c r="J62" s="824">
        <f>D62-I62</f>
        <v>0.0</v>
      </c>
      <c r="K62" s="824">
        <f>J62</f>
        <v>0.0</v>
      </c>
      <c r="L62" s="291"/>
      <c r="M62" s="291"/>
      <c r="N62" s="291"/>
      <c r="O62" s="258"/>
    </row>
    <row r="63" spans="1:15" x14ac:dyDescent="0.25">
      <c r="B63" s="285"/>
      <c r="C63" s="404"/>
      <c r="D63" s="821"/>
      <c r="E63" s="821">
        <f>D63*IF(B63&gt;2018,10%,0)</f>
        <v>0.0</v>
      </c>
      <c r="F63" s="824">
        <f>D63-E63</f>
        <v>0.0</v>
      </c>
      <c r="G63" s="293">
        <v>7</v>
      </c>
      <c r="H63" s="293">
        <f>IF(B63="",G63,IF($H$7-B63&gt;G63,G63,$H$7-B63))</f>
        <v>7.0</v>
      </c>
      <c r="I63" s="824">
        <f>F63/G63*H63</f>
        <v>0.0</v>
      </c>
      <c r="J63" s="824">
        <f>D63-I63</f>
        <v>0.0</v>
      </c>
      <c r="K63" s="824">
        <f>J63</f>
        <v>0.0</v>
      </c>
      <c r="L63" s="291"/>
      <c r="M63" s="291"/>
      <c r="N63" s="291"/>
      <c r="O63" s="258"/>
    </row>
    <row r="64" spans="1:15" x14ac:dyDescent="0.25">
      <c r="B64" s="285"/>
      <c r="C64" s="403"/>
      <c r="D64" s="821"/>
      <c r="E64" s="821">
        <f>D64*IF(B64&gt;2018,10%,0)</f>
        <v>0.0</v>
      </c>
      <c r="F64" s="824">
        <f>D64-E64</f>
        <v>0.0</v>
      </c>
      <c r="G64" s="293">
        <v>7</v>
      </c>
      <c r="H64" s="293">
        <f>IF(B64="",G64,IF($H$7-B64&gt;G64,G64,$H$7-B64))</f>
        <v>7.0</v>
      </c>
      <c r="I64" s="824">
        <f>F64/G64*H64</f>
        <v>0.0</v>
      </c>
      <c r="J64" s="824">
        <f>D64-I64</f>
        <v>0.0</v>
      </c>
      <c r="K64" s="824">
        <f>J64</f>
        <v>0.0</v>
      </c>
      <c r="L64" s="291"/>
      <c r="M64" s="291"/>
      <c r="N64" s="291"/>
      <c r="O64" s="258"/>
    </row>
    <row r="65" spans="2:15" x14ac:dyDescent="0.25">
      <c r="B65" s="285"/>
      <c r="C65" s="403"/>
      <c r="D65" s="821"/>
      <c r="E65" s="821">
        <f>D65*IF(B65&gt;2018,10%,0)</f>
        <v>0.0</v>
      </c>
      <c r="F65" s="824">
        <f>D65-E65</f>
        <v>0.0</v>
      </c>
      <c r="G65" s="293">
        <v>7</v>
      </c>
      <c r="H65" s="293">
        <f>IF(B65="",G65,IF($H$7-B65&gt;G65,G65,$H$7-B65))</f>
        <v>7.0</v>
      </c>
      <c r="I65" s="824">
        <f>F65/G65*H65</f>
        <v>0.0</v>
      </c>
      <c r="J65" s="824">
        <f>D65-I65</f>
        <v>0.0</v>
      </c>
      <c r="K65" s="824">
        <f>J65</f>
        <v>0.0</v>
      </c>
      <c r="L65" s="291"/>
      <c r="M65" s="291"/>
      <c r="N65" s="291"/>
      <c r="O65" s="258"/>
    </row>
    <row r="66" spans="2:15" x14ac:dyDescent="0.25">
      <c r="B66" s="285"/>
      <c r="C66" s="403"/>
      <c r="D66" s="821"/>
      <c r="E66" s="821">
        <f>D66*IF(B66&gt;2018,10%,0)</f>
        <v>0.0</v>
      </c>
      <c r="F66" s="824">
        <f>D66-E66</f>
        <v>0.0</v>
      </c>
      <c r="G66" s="293">
        <v>7</v>
      </c>
      <c r="H66" s="293">
        <f>IF(B66="",G66,IF($H$7-B66&gt;G66,G66,$H$7-B66))</f>
        <v>7.0</v>
      </c>
      <c r="I66" s="824">
        <f>F66/G66*H66</f>
        <v>0.0</v>
      </c>
      <c r="J66" s="824">
        <f>D66-I66</f>
        <v>0.0</v>
      </c>
      <c r="K66" s="824">
        <f>J66</f>
        <v>0.0</v>
      </c>
      <c r="L66" s="291"/>
      <c r="M66" s="291"/>
      <c r="N66" s="291"/>
      <c r="O66" s="258"/>
    </row>
    <row r="67" spans="2:15" x14ac:dyDescent="0.25">
      <c r="B67" s="285"/>
      <c r="C67" s="403"/>
      <c r="D67" s="821"/>
      <c r="E67" s="821">
        <f>D67*IF(B67&gt;2018,10%,0)</f>
        <v>0.0</v>
      </c>
      <c r="F67" s="824">
        <f>D67-E67</f>
        <v>0.0</v>
      </c>
      <c r="G67" s="293">
        <v>7</v>
      </c>
      <c r="H67" s="293">
        <f>IF(B67="",G67,IF($H$7-B67&gt;G67,G67,$H$7-B67))</f>
        <v>7.0</v>
      </c>
      <c r="I67" s="824">
        <f>F67/G67*H67</f>
        <v>0.0</v>
      </c>
      <c r="J67" s="824">
        <f>D67-I67</f>
        <v>0.0</v>
      </c>
      <c r="K67" s="824">
        <f>J67</f>
        <v>0.0</v>
      </c>
      <c r="L67" s="291"/>
      <c r="M67" s="291"/>
      <c r="N67" s="291"/>
      <c r="O67" s="258"/>
    </row>
    <row r="68" spans="2:15" x14ac:dyDescent="0.25">
      <c r="B68" s="285"/>
      <c r="C68" s="403"/>
      <c r="D68" s="821"/>
      <c r="E68" s="821">
        <f>D68*IF(B68&gt;2018,10%,0)</f>
        <v>0.0</v>
      </c>
      <c r="F68" s="824">
        <f>D68-E68</f>
        <v>0.0</v>
      </c>
      <c r="G68" s="293">
        <v>7</v>
      </c>
      <c r="H68" s="293">
        <f>IF(B68="",G68,IF($H$7-B68&gt;G68,G68,$H$7-B68))</f>
        <v>7.0</v>
      </c>
      <c r="I68" s="824">
        <f>F68/G68*H68</f>
        <v>0.0</v>
      </c>
      <c r="J68" s="824">
        <f>D68-I68</f>
        <v>0.0</v>
      </c>
      <c r="K68" s="824">
        <f>J68</f>
        <v>0.0</v>
      </c>
      <c r="L68" s="291"/>
      <c r="M68" s="291"/>
      <c r="N68" s="291"/>
      <c r="O68" s="258"/>
    </row>
    <row r="69" spans="2:15" x14ac:dyDescent="0.25">
      <c r="B69" s="285"/>
      <c r="C69" s="403"/>
      <c r="D69" s="821"/>
      <c r="E69" s="821">
        <f>D69*IF(B69&gt;2018,10%,0)</f>
        <v>0.0</v>
      </c>
      <c r="F69" s="824">
        <f>D69-E69</f>
        <v>0.0</v>
      </c>
      <c r="G69" s="293">
        <v>7</v>
      </c>
      <c r="H69" s="293">
        <f>IF(B69="",G69,IF($H$7-B69&gt;G69,G69,$H$7-B69))</f>
        <v>7.0</v>
      </c>
      <c r="I69" s="824">
        <f>F69/G69*H69</f>
        <v>0.0</v>
      </c>
      <c r="J69" s="824">
        <f>D69-I69</f>
        <v>0.0</v>
      </c>
      <c r="K69" s="824">
        <f>J69</f>
        <v>0.0</v>
      </c>
      <c r="L69" s="291"/>
      <c r="M69" s="291"/>
      <c r="N69" s="291"/>
      <c r="O69" s="258"/>
    </row>
    <row r="70" spans="2:15" x14ac:dyDescent="0.25">
      <c r="B70" s="285"/>
      <c r="C70" s="403"/>
      <c r="D70" s="821"/>
      <c r="E70" s="821">
        <f>D70*IF(B70&gt;2018,10%,0)</f>
        <v>0.0</v>
      </c>
      <c r="F70" s="824">
        <f>D70-E70</f>
        <v>0.0</v>
      </c>
      <c r="G70" s="293">
        <v>7</v>
      </c>
      <c r="H70" s="293">
        <f>IF(B70="",G70,IF($H$7-B70&gt;G70,G70,$H$7-B70))</f>
        <v>7.0</v>
      </c>
      <c r="I70" s="824">
        <f>F70/G70*H70</f>
        <v>0.0</v>
      </c>
      <c r="J70" s="824">
        <f>D70-I70</f>
        <v>0.0</v>
      </c>
      <c r="K70" s="824">
        <f>J70</f>
        <v>0.0</v>
      </c>
      <c r="L70" s="291"/>
      <c r="M70" s="291"/>
      <c r="N70" s="291"/>
      <c r="O70" s="258"/>
    </row>
    <row r="71" spans="2:15" x14ac:dyDescent="0.25">
      <c r="B71" s="285"/>
      <c r="C71" s="403"/>
      <c r="D71" s="821"/>
      <c r="E71" s="821">
        <f>D71*IF(B71&gt;2018,10%,0)</f>
        <v>0.0</v>
      </c>
      <c r="F71" s="824">
        <f>D71-E71</f>
        <v>0.0</v>
      </c>
      <c r="G71" s="293">
        <v>7</v>
      </c>
      <c r="H71" s="293">
        <f>IF(B71="",G71,IF($H$7-B71&gt;G71,G71,$H$7-B71))</f>
        <v>7.0</v>
      </c>
      <c r="I71" s="824">
        <f>F71/G71*H71</f>
        <v>0.0</v>
      </c>
      <c r="J71" s="824">
        <f>D71-I71</f>
        <v>0.0</v>
      </c>
      <c r="K71" s="824">
        <f>J71</f>
        <v>0.0</v>
      </c>
      <c r="L71" s="291"/>
      <c r="M71" s="291"/>
      <c r="N71" s="291"/>
      <c r="O71" s="258"/>
    </row>
    <row r="72" spans="2:15" x14ac:dyDescent="0.25">
      <c r="B72" s="285"/>
      <c r="C72" s="403"/>
      <c r="D72" s="821"/>
      <c r="E72" s="821">
        <f>D72*IF(B72&gt;2018,10%,0)</f>
        <v>0.0</v>
      </c>
      <c r="F72" s="824">
        <f>D72-E72</f>
        <v>0.0</v>
      </c>
      <c r="G72" s="293">
        <v>7</v>
      </c>
      <c r="H72" s="293">
        <f>IF(B72="",G72,IF($H$7-B72&gt;G72,G72,$H$7-B72))</f>
        <v>7.0</v>
      </c>
      <c r="I72" s="824">
        <f>F72/G72*H72</f>
        <v>0.0</v>
      </c>
      <c r="J72" s="824">
        <f>D72-I72</f>
        <v>0.0</v>
      </c>
      <c r="K72" s="824">
        <f>J72</f>
        <v>0.0</v>
      </c>
      <c r="L72" s="291"/>
      <c r="M72" s="291"/>
      <c r="N72" s="291"/>
      <c r="O72" s="258"/>
    </row>
    <row r="73" spans="2:15" x14ac:dyDescent="0.25">
      <c r="B73" s="285"/>
      <c r="C73" s="403"/>
      <c r="D73" s="821"/>
      <c r="E73" s="821">
        <f>D73*IF(B73&gt;2018,10%,0)</f>
        <v>0.0</v>
      </c>
      <c r="F73" s="824">
        <f>D73-E73</f>
        <v>0.0</v>
      </c>
      <c r="G73" s="293">
        <v>7</v>
      </c>
      <c r="H73" s="293">
        <f>IF(B73="",G73,IF($H$7-B73&gt;G73,G73,$H$7-B73))</f>
        <v>7.0</v>
      </c>
      <c r="I73" s="824">
        <f>F73/G73*H73</f>
        <v>0.0</v>
      </c>
      <c r="J73" s="824">
        <f>D73-I73</f>
        <v>0.0</v>
      </c>
      <c r="K73" s="824">
        <f>J73</f>
        <v>0.0</v>
      </c>
      <c r="L73" s="291"/>
      <c r="M73" s="291"/>
      <c r="N73" s="291"/>
      <c r="O73" s="258"/>
    </row>
    <row r="74" spans="2:15" x14ac:dyDescent="0.25">
      <c r="B74" s="285"/>
      <c r="C74" s="403"/>
      <c r="D74" s="821"/>
      <c r="E74" s="821">
        <f>D74*IF(B74&gt;2018,10%,0)</f>
        <v>0.0</v>
      </c>
      <c r="F74" s="824">
        <f>D74-E74</f>
        <v>0.0</v>
      </c>
      <c r="G74" s="293">
        <v>7</v>
      </c>
      <c r="H74" s="293">
        <f>IF(B74="",G74,IF($H$7-B74&gt;G74,G74,$H$7-B74))</f>
        <v>7.0</v>
      </c>
      <c r="I74" s="824">
        <f>F74/G74*H74</f>
        <v>0.0</v>
      </c>
      <c r="J74" s="824">
        <f>D74-I74</f>
        <v>0.0</v>
      </c>
      <c r="K74" s="824">
        <f>J74</f>
        <v>0.0</v>
      </c>
      <c r="L74" s="291"/>
      <c r="M74" s="291"/>
      <c r="N74" s="291"/>
      <c r="O74" s="258"/>
    </row>
    <row r="75" spans="2:15" x14ac:dyDescent="0.25">
      <c r="B75" s="285"/>
      <c r="C75" s="403"/>
      <c r="D75" s="821"/>
      <c r="E75" s="821">
        <f>D75*IF(B75&gt;2018,10%,0)</f>
        <v>0.0</v>
      </c>
      <c r="F75" s="824">
        <f>D75-E75</f>
        <v>0.0</v>
      </c>
      <c r="G75" s="293">
        <v>7</v>
      </c>
      <c r="H75" s="293">
        <f>IF(B75="",G75,IF($H$7-B75&gt;G75,G75,$H$7-B75))</f>
        <v>7.0</v>
      </c>
      <c r="I75" s="824">
        <f>F75/G75*H75</f>
        <v>0.0</v>
      </c>
      <c r="J75" s="824">
        <f>D75-I75</f>
        <v>0.0</v>
      </c>
      <c r="K75" s="824">
        <f>J75</f>
        <v>0.0</v>
      </c>
      <c r="L75" s="291"/>
      <c r="M75" s="291"/>
      <c r="N75" s="291"/>
      <c r="O75" s="258"/>
    </row>
    <row r="76" spans="2:15" x14ac:dyDescent="0.25">
      <c r="B76" s="285"/>
      <c r="C76" s="404"/>
      <c r="D76" s="821"/>
      <c r="E76" s="821">
        <f>D76*IF(B76&gt;2018,10%,0)</f>
        <v>0.0</v>
      </c>
      <c r="F76" s="824">
        <f>D76-E76</f>
        <v>0.0</v>
      </c>
      <c r="G76" s="293">
        <v>7</v>
      </c>
      <c r="H76" s="293">
        <f>IF(B76="",G76,IF($H$7-B76&gt;G76,G76,$H$7-B76))</f>
        <v>7.0</v>
      </c>
      <c r="I76" s="824">
        <f>F76/G76*H76</f>
        <v>0.0</v>
      </c>
      <c r="J76" s="824">
        <f>D76-I76</f>
        <v>0.0</v>
      </c>
      <c r="K76" s="824">
        <f>J76</f>
        <v>0.0</v>
      </c>
      <c r="L76" s="291"/>
      <c r="M76" s="291"/>
      <c r="N76" s="291"/>
      <c r="O76" s="258"/>
    </row>
    <row r="77" spans="2:15" x14ac:dyDescent="0.25">
      <c r="B77" s="285"/>
      <c r="C77" s="404"/>
      <c r="D77" s="821"/>
      <c r="E77" s="821">
        <f>D77*IF(B77&gt;2018,10%,0)</f>
        <v>0.0</v>
      </c>
      <c r="F77" s="824">
        <f>D77-E77</f>
        <v>0.0</v>
      </c>
      <c r="G77" s="293">
        <v>7</v>
      </c>
      <c r="H77" s="293">
        <f>IF(B77="",G77,IF($H$7-B77&gt;G77,G77,$H$7-B77))</f>
        <v>7.0</v>
      </c>
      <c r="I77" s="824">
        <f>F77/G77*H77</f>
        <v>0.0</v>
      </c>
      <c r="J77" s="824">
        <f>D77-I77</f>
        <v>0.0</v>
      </c>
      <c r="K77" s="824">
        <f>J77</f>
        <v>0.0</v>
      </c>
      <c r="L77" s="291"/>
      <c r="M77" s="291"/>
      <c r="N77" s="291"/>
      <c r="O77" s="258"/>
    </row>
    <row r="78" spans="2:15" x14ac:dyDescent="0.25">
      <c r="B78" s="285"/>
      <c r="C78" s="404"/>
      <c r="D78" s="821"/>
      <c r="E78" s="821">
        <f>D78*IF(B78&gt;2018,10%,0)</f>
        <v>0.0</v>
      </c>
      <c r="F78" s="824">
        <f>D78-E78</f>
        <v>0.0</v>
      </c>
      <c r="G78" s="293">
        <v>7</v>
      </c>
      <c r="H78" s="293">
        <f>IF(B78="",G78,IF($H$7-B78&gt;G78,G78,$H$7-B78))</f>
        <v>7.0</v>
      </c>
      <c r="I78" s="824">
        <f>F78/G78*H78</f>
        <v>0.0</v>
      </c>
      <c r="J78" s="824">
        <f>D78-I78</f>
        <v>0.0</v>
      </c>
      <c r="K78" s="824">
        <f>J78</f>
        <v>0.0</v>
      </c>
      <c r="L78" s="291"/>
      <c r="M78" s="291"/>
      <c r="N78" s="291"/>
      <c r="O78" s="258"/>
    </row>
    <row r="79" spans="2:15" x14ac:dyDescent="0.25">
      <c r="B79" s="285"/>
      <c r="C79" s="278"/>
      <c r="D79" s="821"/>
      <c r="E79" s="821">
        <f>D79*IF(B79&gt;2018,10%,0)</f>
        <v>0.0</v>
      </c>
      <c r="F79" s="824">
        <f>D79-E79</f>
        <v>0.0</v>
      </c>
      <c r="G79" s="293">
        <v>7</v>
      </c>
      <c r="H79" s="293">
        <f>IF(B79="",G79,IF($H$7-B79&gt;G79,G79,$H$7-B79))</f>
        <v>7.0</v>
      </c>
      <c r="I79" s="824">
        <f>F79/G79*H79</f>
        <v>0.0</v>
      </c>
      <c r="J79" s="824">
        <f>D79-I79</f>
        <v>0.0</v>
      </c>
      <c r="K79" s="824">
        <f>J79</f>
        <v>0.0</v>
      </c>
      <c r="L79" s="294"/>
      <c r="M79" s="294"/>
      <c r="N79" s="294"/>
      <c r="O79" s="258"/>
    </row>
    <row r="80" spans="2:15" x14ac:dyDescent="0.25">
      <c r="C80" s="279"/>
      <c r="D80" s="823">
        <f>SUM(D60:D79)</f>
        <v>0.0</v>
      </c>
      <c r="E80" s="823">
        <f>SUM(E60:E79)</f>
        <v>0.0</v>
      </c>
      <c r="F80" s="823">
        <f>SUM(F60:F79)</f>
        <v>0.0</v>
      </c>
      <c r="G80" s="394"/>
      <c r="H80" s="394"/>
      <c r="I80" s="823">
        <f>SUM(I60:I79)</f>
        <v>0.0</v>
      </c>
      <c r="J80" s="823">
        <f>SUM(J60:J79)</f>
        <v>0.0</v>
      </c>
      <c r="K80" s="823">
        <f>SUM(K60:K79)</f>
        <v>0.0</v>
      </c>
      <c r="L80" s="823"/>
      <c r="M80" s="823">
        <f>K80-L80</f>
        <v>0.0</v>
      </c>
      <c r="N80" s="823">
        <f>F80/G60</f>
        <v>0.0</v>
      </c>
      <c r="O80" s="258"/>
    </row>
    <row r="81" spans="2:15" x14ac:dyDescent="0.25">
      <c r="C81" s="275"/>
      <c r="D81" s="295"/>
      <c r="E81" s="280"/>
      <c r="F81" s="280"/>
      <c r="G81" s="280"/>
      <c r="H81" s="280"/>
      <c r="I81" s="280"/>
      <c r="J81" s="280"/>
      <c r="K81" s="290"/>
      <c r="L81" s="290"/>
      <c r="M81" s="290"/>
      <c r="N81" s="290"/>
      <c r="O81" s="258"/>
    </row>
    <row r="82" spans="2:15" x14ac:dyDescent="0.25">
      <c r="C82" s="271" t="s">
        <v>113</v>
      </c>
      <c r="D82" s="280"/>
      <c r="E82" s="280"/>
      <c r="F82" s="280"/>
      <c r="G82" s="280"/>
      <c r="H82" s="280"/>
      <c r="I82" s="280"/>
      <c r="J82" s="280"/>
      <c r="K82" s="280"/>
      <c r="L82" s="280"/>
      <c r="M82" s="280"/>
      <c r="N82" s="280"/>
      <c r="O82" s="258"/>
    </row>
    <row r="83" spans="2:15" x14ac:dyDescent="0.25">
      <c r="C83" s="275" t="s">
        <v>112</v>
      </c>
      <c r="D83" s="280"/>
      <c r="E83" s="280"/>
      <c r="F83" s="280"/>
      <c r="G83" s="280"/>
      <c r="H83" s="280"/>
      <c r="I83" s="290"/>
      <c r="J83" s="280"/>
      <c r="K83" s="290"/>
      <c r="L83" s="290"/>
      <c r="M83" s="290"/>
      <c r="N83" s="290"/>
      <c r="O83" s="258"/>
    </row>
    <row r="84" spans="2:15" x14ac:dyDescent="0.25">
      <c r="B84" s="285"/>
      <c r="C84" s="404"/>
      <c r="D84" s="821"/>
      <c r="E84" s="821">
        <f>D84*IF(B84&gt;2018,10%,0)</f>
        <v>0.0</v>
      </c>
      <c r="F84" s="824">
        <f>D84-E84</f>
        <v>0.0</v>
      </c>
      <c r="G84" s="293">
        <v>7</v>
      </c>
      <c r="H84" s="293">
        <f>IF(B84="",G84,IF($H$7-B84&gt;G84,G84,$H$7-B84))</f>
        <v>7.0</v>
      </c>
      <c r="I84" s="824">
        <f>F84/G84*H84</f>
        <v>0.0</v>
      </c>
      <c r="J84" s="824">
        <f>D84-I84</f>
        <v>0.0</v>
      </c>
      <c r="K84" s="824">
        <f>J84</f>
        <v>0.0</v>
      </c>
      <c r="L84" s="291"/>
      <c r="M84" s="291"/>
      <c r="N84" s="291"/>
      <c r="O84" s="258"/>
    </row>
    <row r="85" spans="2:15" x14ac:dyDescent="0.25">
      <c r="B85" s="285"/>
      <c r="C85" s="404"/>
      <c r="D85" s="821"/>
      <c r="E85" s="821">
        <f>D85*IF(B85&gt;2018,10%,0)</f>
        <v>0.0</v>
      </c>
      <c r="F85" s="824">
        <f>D85-E85</f>
        <v>0.0</v>
      </c>
      <c r="G85" s="293">
        <v>7</v>
      </c>
      <c r="H85" s="293">
        <f>IF(B85="",G85,IF($H$7-B85&gt;G85,G85,$H$7-B85))</f>
        <v>7.0</v>
      </c>
      <c r="I85" s="824">
        <f>F85/G85*H85</f>
        <v>0.0</v>
      </c>
      <c r="J85" s="824">
        <f>D85-I85</f>
        <v>0.0</v>
      </c>
      <c r="K85" s="824">
        <f>J85</f>
        <v>0.0</v>
      </c>
      <c r="L85" s="291"/>
      <c r="M85" s="291"/>
      <c r="N85" s="291"/>
      <c r="O85" s="258"/>
    </row>
    <row r="86" spans="2:15" x14ac:dyDescent="0.25">
      <c r="B86" s="285"/>
      <c r="C86" s="404"/>
      <c r="D86" s="821"/>
      <c r="E86" s="821">
        <f>D86*IF(B86&gt;2018,10%,0)</f>
        <v>0.0</v>
      </c>
      <c r="F86" s="824">
        <f>D86-E86</f>
        <v>0.0</v>
      </c>
      <c r="G86" s="293">
        <v>7</v>
      </c>
      <c r="H86" s="293">
        <f>IF(B86="",G86,IF($H$7-B86&gt;G86,G86,$H$7-B86))</f>
        <v>7.0</v>
      </c>
      <c r="I86" s="824">
        <f>F86/G86*H86</f>
        <v>0.0</v>
      </c>
      <c r="J86" s="824">
        <f>D86-I86</f>
        <v>0.0</v>
      </c>
      <c r="K86" s="824">
        <f>J86</f>
        <v>0.0</v>
      </c>
      <c r="L86" s="291"/>
      <c r="M86" s="291"/>
      <c r="N86" s="291"/>
      <c r="O86" s="258"/>
    </row>
    <row r="87" spans="2:15" x14ac:dyDescent="0.25">
      <c r="B87" s="285"/>
      <c r="C87" s="404"/>
      <c r="D87" s="821"/>
      <c r="E87" s="821">
        <f>D87*IF(B87&gt;2018,10%,0)</f>
        <v>0.0</v>
      </c>
      <c r="F87" s="824">
        <f>D87-E87</f>
        <v>0.0</v>
      </c>
      <c r="G87" s="293">
        <v>7</v>
      </c>
      <c r="H87" s="293">
        <f>IF(B87="",G87,IF($H$7-B87&gt;G87,G87,$H$7-B87))</f>
        <v>7.0</v>
      </c>
      <c r="I87" s="824">
        <f>F87/G87*H87</f>
        <v>0.0</v>
      </c>
      <c r="J87" s="824">
        <f>D87-I87</f>
        <v>0.0</v>
      </c>
      <c r="K87" s="824">
        <f>J87</f>
        <v>0.0</v>
      </c>
      <c r="L87" s="291"/>
      <c r="M87" s="291"/>
      <c r="N87" s="291"/>
      <c r="O87" s="258"/>
    </row>
    <row r="88" spans="2:15" x14ac:dyDescent="0.25">
      <c r="B88" s="285"/>
      <c r="C88" s="404"/>
      <c r="D88" s="821"/>
      <c r="E88" s="821">
        <f>D88*IF(B88&gt;2018,10%,0)</f>
        <v>0.0</v>
      </c>
      <c r="F88" s="824">
        <f>D88-E88</f>
        <v>0.0</v>
      </c>
      <c r="G88" s="293">
        <v>7</v>
      </c>
      <c r="H88" s="293">
        <f>IF(B88="",G88,IF($H$7-B88&gt;G88,G88,$H$7-B88))</f>
        <v>7.0</v>
      </c>
      <c r="I88" s="824">
        <f>F88/G88*H88</f>
        <v>0.0</v>
      </c>
      <c r="J88" s="824">
        <f>D88-I88</f>
        <v>0.0</v>
      </c>
      <c r="K88" s="824">
        <f>J88</f>
        <v>0.0</v>
      </c>
      <c r="L88" s="291"/>
      <c r="M88" s="291"/>
      <c r="N88" s="291"/>
      <c r="O88" s="258"/>
    </row>
    <row r="89" spans="2:15" x14ac:dyDescent="0.25">
      <c r="B89" s="285"/>
      <c r="C89" s="404"/>
      <c r="D89" s="821"/>
      <c r="E89" s="821">
        <f>D89*IF(B89&gt;2018,10%,0)</f>
        <v>0.0</v>
      </c>
      <c r="F89" s="824">
        <f>D89-E89</f>
        <v>0.0</v>
      </c>
      <c r="G89" s="293">
        <v>7</v>
      </c>
      <c r="H89" s="293">
        <f>IF(B89="",G89,IF($H$7-B89&gt;G89,G89,$H$7-B89))</f>
        <v>7.0</v>
      </c>
      <c r="I89" s="824">
        <f>F89/G89*H89</f>
        <v>0.0</v>
      </c>
      <c r="J89" s="824">
        <f>D89-I89</f>
        <v>0.0</v>
      </c>
      <c r="K89" s="824">
        <f>J89</f>
        <v>0.0</v>
      </c>
      <c r="L89" s="291"/>
      <c r="M89" s="291"/>
      <c r="N89" s="291"/>
      <c r="O89" s="258"/>
    </row>
    <row r="90" spans="2:15" x14ac:dyDescent="0.25">
      <c r="B90" s="285"/>
      <c r="C90" s="404"/>
      <c r="D90" s="821"/>
      <c r="E90" s="821">
        <f>D90*IF(B90&gt;2018,10%,0)</f>
        <v>0.0</v>
      </c>
      <c r="F90" s="824">
        <f>D90-E90</f>
        <v>0.0</v>
      </c>
      <c r="G90" s="293">
        <v>7</v>
      </c>
      <c r="H90" s="293">
        <f>IF(B90="",G90,IF($H$7-B90&gt;G90,G90,$H$7-B90))</f>
        <v>7.0</v>
      </c>
      <c r="I90" s="824">
        <f>F90/G90*H90</f>
        <v>0.0</v>
      </c>
      <c r="J90" s="824">
        <f>D90-I90</f>
        <v>0.0</v>
      </c>
      <c r="K90" s="824">
        <f>J90</f>
        <v>0.0</v>
      </c>
      <c r="L90" s="291"/>
      <c r="M90" s="291"/>
      <c r="N90" s="291"/>
      <c r="O90" s="258"/>
    </row>
    <row r="91" spans="2:15" x14ac:dyDescent="0.25">
      <c r="B91" s="285"/>
      <c r="C91" s="278"/>
      <c r="D91" s="821"/>
      <c r="E91" s="821">
        <f>D91*IF(B91&gt;2018,10%,0)</f>
        <v>0.0</v>
      </c>
      <c r="F91" s="824">
        <f>D91-E91</f>
        <v>0.0</v>
      </c>
      <c r="G91" s="293">
        <v>7</v>
      </c>
      <c r="H91" s="293">
        <f>IF(B91="",G91,IF($H$7-B91&gt;G91,G91,$H$7-B91))</f>
        <v>7.0</v>
      </c>
      <c r="I91" s="824">
        <f>F91/G91*H91</f>
        <v>0.0</v>
      </c>
      <c r="J91" s="824">
        <f>D91-I91</f>
        <v>0.0</v>
      </c>
      <c r="K91" s="824">
        <f>J91</f>
        <v>0.0</v>
      </c>
      <c r="L91" s="294"/>
      <c r="M91" s="294"/>
      <c r="N91" s="294"/>
      <c r="O91" s="258"/>
    </row>
    <row r="92" spans="2:15" x14ac:dyDescent="0.25">
      <c r="B92" s="279"/>
      <c r="C92" s="279"/>
      <c r="D92" s="823">
        <f>SUM(D84:D91)</f>
        <v>0.0</v>
      </c>
      <c r="E92" s="823">
        <f>SUM(E84:E91)</f>
        <v>0.0</v>
      </c>
      <c r="F92" s="823">
        <f>SUM(F84:F91)</f>
        <v>0.0</v>
      </c>
      <c r="G92" s="394"/>
      <c r="H92" s="394"/>
      <c r="I92" s="823">
        <f>SUM(I84:I91)</f>
        <v>0.0</v>
      </c>
      <c r="J92" s="823">
        <f>SUM(J84:J91)</f>
        <v>0.0</v>
      </c>
      <c r="K92" s="823">
        <f>SUM(K84:K91)</f>
        <v>0.0</v>
      </c>
      <c r="L92" s="823"/>
      <c r="M92" s="823">
        <f>K92-L92</f>
        <v>0.0</v>
      </c>
      <c r="N92" s="823">
        <f>F92/G84</f>
        <v>0.0</v>
      </c>
      <c r="O92" s="258"/>
    </row>
    <row r="93" spans="2:15" x14ac:dyDescent="0.25">
      <c r="C93" s="275"/>
      <c r="D93" s="295"/>
      <c r="E93" s="280"/>
      <c r="F93" s="280"/>
      <c r="G93" s="280"/>
      <c r="H93" s="280"/>
      <c r="I93" s="280"/>
      <c r="J93" s="280"/>
      <c r="K93" s="290"/>
      <c r="L93" s="290"/>
      <c r="M93" s="290"/>
      <c r="N93" s="290"/>
      <c r="O93" s="258"/>
    </row>
    <row r="94" spans="2:15" x14ac:dyDescent="0.25">
      <c r="C94" s="271" t="s">
        <v>114</v>
      </c>
      <c r="D94" s="280"/>
      <c r="E94" s="280"/>
      <c r="F94" s="280"/>
      <c r="G94" s="280"/>
      <c r="H94" s="280"/>
      <c r="I94" s="280"/>
      <c r="J94" s="280"/>
      <c r="K94" s="280"/>
      <c r="L94" s="280"/>
      <c r="M94" s="280"/>
      <c r="N94" s="280"/>
      <c r="O94" s="258"/>
    </row>
    <row r="95" spans="2:15" x14ac:dyDescent="0.25">
      <c r="C95" s="275" t="s">
        <v>115</v>
      </c>
      <c r="D95" s="280"/>
      <c r="E95" s="280"/>
      <c r="F95" s="280"/>
      <c r="G95" s="280"/>
      <c r="H95" s="280"/>
      <c r="I95" s="290"/>
      <c r="J95" s="280"/>
      <c r="K95" s="290"/>
      <c r="L95" s="290"/>
      <c r="M95" s="290"/>
      <c r="N95" s="290"/>
      <c r="O95" s="258"/>
    </row>
    <row r="96" spans="2:15" x14ac:dyDescent="0.25">
      <c r="B96" s="285"/>
      <c r="C96" s="404"/>
      <c r="D96" s="821"/>
      <c r="E96" s="821">
        <f>D96*10%</f>
        <v>0.0</v>
      </c>
      <c r="F96" s="824">
        <f>D96-E96</f>
        <v>0.0</v>
      </c>
      <c r="G96" s="293">
        <v>10</v>
      </c>
      <c r="H96" s="293">
        <f>IF(B96="",G96,IF($H$7-B96&gt;G96,G96,$H$7-B96))</f>
        <v>10.0</v>
      </c>
      <c r="I96" s="824">
        <f>F96/G96*H96</f>
        <v>0.0</v>
      </c>
      <c r="J96" s="291">
        <f>D96-I96</f>
        <v>0.0</v>
      </c>
      <c r="K96" s="824">
        <f>J96</f>
        <v>0.0</v>
      </c>
      <c r="L96" s="291"/>
      <c r="M96" s="291"/>
      <c r="N96" s="291"/>
      <c r="O96" s="258"/>
    </row>
    <row r="97" spans="2:15" x14ac:dyDescent="0.25">
      <c r="B97" s="285"/>
      <c r="C97" s="404"/>
      <c r="D97" s="821"/>
      <c r="E97" s="821">
        <f>D97*10%</f>
        <v>0.0</v>
      </c>
      <c r="F97" s="824">
        <f>D97-E97</f>
        <v>0.0</v>
      </c>
      <c r="G97" s="293">
        <v>10</v>
      </c>
      <c r="H97" s="293">
        <f>IF(B97="",G97,IF($H$7-B97&gt;G97,G97,$H$7-B97))</f>
        <v>10.0</v>
      </c>
      <c r="I97" s="824">
        <f>F97/G97*H97</f>
        <v>0.0</v>
      </c>
      <c r="J97" s="291">
        <f>D97-I97</f>
        <v>0.0</v>
      </c>
      <c r="K97" s="824">
        <f>J97</f>
        <v>0.0</v>
      </c>
      <c r="L97" s="291"/>
      <c r="M97" s="291"/>
      <c r="N97" s="291"/>
      <c r="O97" s="258"/>
    </row>
    <row r="98" spans="2:15" x14ac:dyDescent="0.25">
      <c r="B98" s="285"/>
      <c r="C98" s="278"/>
      <c r="D98" s="821"/>
      <c r="E98" s="821">
        <f>D98*10%</f>
        <v>0.0</v>
      </c>
      <c r="F98" s="824">
        <f>D98-E98</f>
        <v>0.0</v>
      </c>
      <c r="G98" s="293">
        <v>10</v>
      </c>
      <c r="H98" s="293">
        <f>IF(B98="",G98,IF($H$7-B98&gt;G98,G98,$H$7-B98))</f>
        <v>10.0</v>
      </c>
      <c r="I98" s="824">
        <f>F98/G98*H98</f>
        <v>0.0</v>
      </c>
      <c r="J98" s="291">
        <f>D98-I98</f>
        <v>0.0</v>
      </c>
      <c r="K98" s="824">
        <f>J98</f>
        <v>0.0</v>
      </c>
      <c r="L98" s="294"/>
      <c r="M98" s="294"/>
      <c r="N98" s="294"/>
      <c r="O98" s="258"/>
    </row>
    <row r="99" spans="2:15" x14ac:dyDescent="0.25">
      <c r="C99" s="279"/>
      <c r="D99" s="823">
        <f>SUM(D96:D98)</f>
        <v>0.0</v>
      </c>
      <c r="E99" s="823">
        <f>SUM(E96:E98)</f>
        <v>0.0</v>
      </c>
      <c r="F99" s="823">
        <f>SUM(F96:F98)</f>
        <v>0.0</v>
      </c>
      <c r="G99" s="394"/>
      <c r="H99" s="394"/>
      <c r="I99" s="823">
        <f>SUM(I96:I98)</f>
        <v>0.0</v>
      </c>
      <c r="J99" s="823">
        <f>SUM(J96:J98)</f>
        <v>0.0</v>
      </c>
      <c r="K99" s="823">
        <f>SUM(K96:K98)</f>
        <v>0.0</v>
      </c>
      <c r="L99" s="823"/>
      <c r="M99" s="823">
        <f>K99-L99</f>
        <v>0.0</v>
      </c>
      <c r="N99" s="823">
        <f>F99/G96</f>
        <v>0.0</v>
      </c>
      <c r="O99" s="258"/>
    </row>
    <row r="100" spans="2:15" x14ac:dyDescent="0.25">
      <c r="C100" s="275"/>
      <c r="D100" s="295"/>
      <c r="E100" s="280"/>
      <c r="F100" s="280"/>
      <c r="G100" s="280"/>
      <c r="H100" s="280"/>
      <c r="I100" s="280"/>
      <c r="J100" s="823"/>
      <c r="K100" s="290"/>
      <c r="L100" s="290"/>
      <c r="M100" s="290"/>
      <c r="N100" s="290"/>
      <c r="O100" s="258"/>
    </row>
    <row r="101" spans="2:15" x14ac:dyDescent="0.25">
      <c r="C101" s="271" t="s">
        <v>116</v>
      </c>
      <c r="D101" s="290"/>
      <c r="E101" s="290"/>
      <c r="F101" s="290"/>
      <c r="G101" s="290"/>
      <c r="H101" s="290"/>
      <c r="I101" s="290"/>
      <c r="J101" s="290"/>
      <c r="K101" s="290"/>
      <c r="L101" s="290"/>
      <c r="M101" s="290"/>
      <c r="N101" s="290"/>
      <c r="O101" s="258"/>
    </row>
    <row r="102" spans="2:15" x14ac:dyDescent="0.25">
      <c r="C102" s="275" t="s">
        <v>117</v>
      </c>
      <c r="D102" s="290"/>
      <c r="E102" s="290"/>
      <c r="F102" s="290"/>
      <c r="G102" s="290"/>
      <c r="H102" s="290"/>
      <c r="I102" s="290"/>
      <c r="J102" s="290"/>
      <c r="K102" s="290"/>
      <c r="L102" s="290"/>
      <c r="M102" s="290"/>
      <c r="N102" s="290"/>
      <c r="O102" s="258"/>
    </row>
    <row r="103" spans="2:15" x14ac:dyDescent="0.25">
      <c r="B103" s="285"/>
      <c r="C103" s="404"/>
      <c r="D103" s="821"/>
      <c r="E103" s="821">
        <f>D103*0</f>
        <v>0.0</v>
      </c>
      <c r="F103" s="824">
        <f>D103-E103</f>
        <v>0.0</v>
      </c>
      <c r="G103" s="293">
        <v>15</v>
      </c>
      <c r="H103" s="293">
        <f>IF(B103="",G103,IF($H$7-B103&gt;G103,G103,$H$7-B103))</f>
        <v>15.0</v>
      </c>
      <c r="I103" s="824">
        <f>F103/G103*H103</f>
        <v>0.0</v>
      </c>
      <c r="J103" s="824">
        <f>D103-I103</f>
        <v>0.0</v>
      </c>
      <c r="K103" s="824">
        <f>J103</f>
        <v>0.0</v>
      </c>
      <c r="L103" s="291"/>
      <c r="M103" s="291"/>
      <c r="N103" s="291"/>
      <c r="O103" s="258"/>
    </row>
    <row r="104" spans="2:15" x14ac:dyDescent="0.25">
      <c r="B104" s="285"/>
      <c r="C104" s="404"/>
      <c r="D104" s="821"/>
      <c r="E104" s="821">
        <f>D104*0</f>
        <v>0.0</v>
      </c>
      <c r="F104" s="824">
        <f>D104-E104</f>
        <v>0.0</v>
      </c>
      <c r="G104" s="293">
        <v>15</v>
      </c>
      <c r="H104" s="293">
        <f>IF(B104="",G104,IF($H$7-B104&gt;G104,G104,$H$7-B104))</f>
        <v>15.0</v>
      </c>
      <c r="I104" s="824">
        <f>F104/G104*H104</f>
        <v>0.0</v>
      </c>
      <c r="J104" s="824">
        <f>D104-I104</f>
        <v>0.0</v>
      </c>
      <c r="K104" s="824">
        <f>J104</f>
        <v>0.0</v>
      </c>
      <c r="L104" s="291"/>
      <c r="M104" s="291"/>
      <c r="N104" s="291"/>
      <c r="O104" s="258"/>
    </row>
    <row r="105" spans="2:15" x14ac:dyDescent="0.25">
      <c r="B105" s="285"/>
      <c r="C105" s="404"/>
      <c r="D105" s="821"/>
      <c r="E105" s="821">
        <f>D105*0</f>
        <v>0.0</v>
      </c>
      <c r="F105" s="824">
        <f>D105-E105</f>
        <v>0.0</v>
      </c>
      <c r="G105" s="293">
        <v>15</v>
      </c>
      <c r="H105" s="293">
        <f>IF(B105="",G105,IF($H$7-B105&gt;G105,G105,$H$7-B105))</f>
        <v>15.0</v>
      </c>
      <c r="I105" s="824">
        <f>F105/G105*H105</f>
        <v>0.0</v>
      </c>
      <c r="J105" s="824">
        <f>D105-I105</f>
        <v>0.0</v>
      </c>
      <c r="K105" s="824">
        <f>J105</f>
        <v>0.0</v>
      </c>
      <c r="L105" s="291"/>
      <c r="M105" s="291"/>
      <c r="N105" s="291"/>
      <c r="O105" s="258"/>
    </row>
    <row r="106" spans="2:15" x14ac:dyDescent="0.25">
      <c r="B106" s="285"/>
      <c r="C106" s="404"/>
      <c r="D106" s="821"/>
      <c r="E106" s="821">
        <f>D106*0</f>
        <v>0.0</v>
      </c>
      <c r="F106" s="824">
        <f>D106-E106</f>
        <v>0.0</v>
      </c>
      <c r="G106" s="293">
        <v>15</v>
      </c>
      <c r="H106" s="293">
        <f>IF(B106="",G106,IF($H$7-B106&gt;G106,G106,$H$7-B106))</f>
        <v>15.0</v>
      </c>
      <c r="I106" s="824">
        <f>F106/G106*H106</f>
        <v>0.0</v>
      </c>
      <c r="J106" s="824">
        <f>D106-I106</f>
        <v>0.0</v>
      </c>
      <c r="K106" s="824">
        <f>J106</f>
        <v>0.0</v>
      </c>
      <c r="L106" s="291"/>
      <c r="M106" s="291"/>
      <c r="N106" s="291"/>
      <c r="O106" s="258"/>
    </row>
    <row r="107" spans="2:15" x14ac:dyDescent="0.25">
      <c r="B107" s="285"/>
      <c r="C107" s="404"/>
      <c r="D107" s="821"/>
      <c r="E107" s="821">
        <f>D107*0</f>
        <v>0.0</v>
      </c>
      <c r="F107" s="824">
        <f>D107-E107</f>
        <v>0.0</v>
      </c>
      <c r="G107" s="293">
        <v>15</v>
      </c>
      <c r="H107" s="293">
        <f>IF(B107="",G107,IF($H$7-B107&gt;G107,G107,$H$7-B107))</f>
        <v>15.0</v>
      </c>
      <c r="I107" s="824">
        <f>F107/G107*H107</f>
        <v>0.0</v>
      </c>
      <c r="J107" s="824">
        <f>D107-I107</f>
        <v>0.0</v>
      </c>
      <c r="K107" s="824">
        <f>J107</f>
        <v>0.0</v>
      </c>
      <c r="L107" s="291"/>
      <c r="M107" s="291"/>
      <c r="N107" s="291"/>
      <c r="O107" s="258"/>
    </row>
    <row r="108" spans="2:15" x14ac:dyDescent="0.25">
      <c r="B108" s="285"/>
      <c r="C108" s="404"/>
      <c r="D108" s="821"/>
      <c r="E108" s="821">
        <f>D108*0</f>
        <v>0.0</v>
      </c>
      <c r="F108" s="824">
        <f>D108-E108</f>
        <v>0.0</v>
      </c>
      <c r="G108" s="293">
        <v>15</v>
      </c>
      <c r="H108" s="293">
        <f>IF(B108="",G108,IF($H$7-B108&gt;G108,G108,$H$7-B108))</f>
        <v>15.0</v>
      </c>
      <c r="I108" s="824">
        <f>F108/G108*H108</f>
        <v>0.0</v>
      </c>
      <c r="J108" s="824">
        <f>D108-I108</f>
        <v>0.0</v>
      </c>
      <c r="K108" s="824">
        <f>J108</f>
        <v>0.0</v>
      </c>
      <c r="L108" s="291"/>
      <c r="M108" s="291"/>
      <c r="N108" s="291"/>
      <c r="O108" s="258"/>
    </row>
    <row r="109" spans="2:15" x14ac:dyDescent="0.25">
      <c r="B109" s="285"/>
      <c r="C109" s="275"/>
      <c r="D109" s="821"/>
      <c r="E109" s="821">
        <f>D109*0</f>
        <v>0.0</v>
      </c>
      <c r="F109" s="824">
        <f>D109-E109</f>
        <v>0.0</v>
      </c>
      <c r="G109" s="293">
        <v>15</v>
      </c>
      <c r="H109" s="293">
        <f>IF(B109="",G109,IF($H$7-B109&gt;G109,G109,$H$7-B109))</f>
        <v>15.0</v>
      </c>
      <c r="I109" s="824">
        <f>F109/G109*H109</f>
        <v>0.0</v>
      </c>
      <c r="J109" s="824">
        <f>D109-I109</f>
        <v>0.0</v>
      </c>
      <c r="K109" s="824">
        <f>J109</f>
        <v>0.0</v>
      </c>
      <c r="L109" s="294"/>
      <c r="M109" s="294"/>
      <c r="N109" s="294"/>
      <c r="O109" s="258"/>
    </row>
    <row r="110" spans="2:15" x14ac:dyDescent="0.25">
      <c r="C110" s="279"/>
      <c r="D110" s="823">
        <f>SUM(D103:D109)</f>
        <v>0.0</v>
      </c>
      <c r="E110" s="394">
        <f>SUM(E103:E109)</f>
        <v>0.0</v>
      </c>
      <c r="F110" s="823">
        <f>SUM(F103:F109)</f>
        <v>0.0</v>
      </c>
      <c r="G110" s="394"/>
      <c r="H110" s="394"/>
      <c r="I110" s="823">
        <f>SUM(I103:I109)</f>
        <v>0.0</v>
      </c>
      <c r="J110" s="823">
        <f>SUM(J103:J109)</f>
        <v>0.0</v>
      </c>
      <c r="K110" s="823">
        <f>SUM(K103:K109)</f>
        <v>0.0</v>
      </c>
      <c r="L110" s="823"/>
      <c r="M110" s="823">
        <f>K110-L110</f>
        <v>0.0</v>
      </c>
      <c r="N110" s="823">
        <f>F110/G103</f>
        <v>0.0</v>
      </c>
      <c r="O110" s="258"/>
    </row>
    <row r="111" spans="2:15" s="276" customFormat="1" x14ac:dyDescent="0.25">
      <c r="B111" s="279"/>
      <c r="C111" s="279"/>
      <c r="D111" s="274"/>
      <c r="E111" s="274"/>
      <c r="F111" s="274"/>
      <c r="G111" s="288"/>
      <c r="H111" s="288"/>
      <c r="I111" s="289"/>
      <c r="J111" s="289"/>
      <c r="K111" s="289"/>
      <c r="L111" s="289"/>
      <c r="M111" s="289"/>
      <c r="N111" s="289"/>
      <c r="O111" s="277"/>
    </row>
    <row r="112" spans="2:15" s="276" customFormat="1" x14ac:dyDescent="0.25">
      <c r="B112" s="391"/>
      <c r="C112" s="392" t="s">
        <v>118</v>
      </c>
      <c r="D112" s="825">
        <f>D55+D80+D92+D99+D110</f>
        <v>0.0</v>
      </c>
      <c r="E112" s="825">
        <f>E55+E80+E92+E99+E110</f>
        <v>0.0</v>
      </c>
      <c r="F112" s="825">
        <f>F55+F80+F92+F99+F110</f>
        <v>0.0</v>
      </c>
      <c r="G112" s="393"/>
      <c r="H112" s="393"/>
      <c r="I112" s="825">
        <f>I55+I80+I92+I99+I110</f>
        <v>0.0</v>
      </c>
      <c r="J112" s="825">
        <f>J55+J80+J92+J99+J110</f>
        <v>0.0</v>
      </c>
      <c r="K112" s="825">
        <f>K55+K80+K92+K99+K110</f>
        <v>0.0</v>
      </c>
      <c r="L112" s="826">
        <f>L55+L80+L92+L99+L110</f>
        <v>0.0</v>
      </c>
      <c r="M112" s="825">
        <f>M55+M80+M92+M99+M110</f>
        <v>0.0</v>
      </c>
      <c r="N112" s="825">
        <f>N55+N80+N92+N99+N110</f>
        <v>0.0</v>
      </c>
      <c r="O112" s="277"/>
    </row>
    <row r="113" spans="2:257" s="276" customFormat="1" ht="13.8" thickBot="1" x14ac:dyDescent="0.3">
      <c r="B113" s="279"/>
      <c r="C113" s="279"/>
      <c r="D113" s="274"/>
      <c r="E113" s="274"/>
      <c r="F113" s="274"/>
      <c r="G113" s="288"/>
      <c r="H113" s="288"/>
      <c r="I113" s="289"/>
      <c r="J113" s="289"/>
      <c r="K113" s="289"/>
      <c r="L113" s="289"/>
      <c r="M113" s="289"/>
      <c r="O113" s="277"/>
    </row>
    <row r="114" spans="2:257" s="276" customFormat="1" ht="13.8" thickBot="1" x14ac:dyDescent="0.3">
      <c r="B114" s="279"/>
      <c r="C114" s="279"/>
      <c r="D114" s="274"/>
      <c r="E114" s="274"/>
      <c r="F114" s="274"/>
      <c r="G114" s="288"/>
      <c r="H114" s="288"/>
      <c r="I114" s="289"/>
      <c r="J114" s="289"/>
      <c r="K114" s="289"/>
      <c r="L114" s="282" t="s">
        <v>101</v>
      </c>
      <c r="M114" s="828">
        <f>ROUND(M112,-3)</f>
        <v>0.0</v>
      </c>
      <c r="O114" s="277"/>
    </row>
    <row r="115" spans="2:257" s="276" customFormat="1" x14ac:dyDescent="0.25">
      <c r="B115" s="279"/>
      <c r="C115" s="279"/>
      <c r="D115" s="274"/>
      <c r="E115" s="274"/>
      <c r="F115" s="274"/>
      <c r="G115" s="288"/>
      <c r="H115" s="288"/>
      <c r="I115" s="289"/>
      <c r="J115" s="289"/>
      <c r="K115" s="289"/>
      <c r="L115" s="289"/>
      <c r="M115" s="289"/>
      <c r="O115" s="277"/>
    </row>
    <row r="116" spans="2:257" s="276" customFormat="1" x14ac:dyDescent="0.25">
      <c r="B116" s="279"/>
      <c r="C116" s="279"/>
      <c r="D116" s="274"/>
      <c r="E116" s="274"/>
      <c r="F116" s="274"/>
      <c r="G116" s="288"/>
      <c r="H116" s="288"/>
      <c r="I116" s="289"/>
      <c r="J116" s="289"/>
      <c r="K116" s="289"/>
      <c r="L116" s="289"/>
      <c r="M116" s="289"/>
      <c r="O116" s="277"/>
    </row>
    <row r="117" spans="2:257" hidden="1" x14ac:dyDescent="0.25">
      <c r="C117" s="278"/>
      <c r="D117" s="281"/>
      <c r="E117" s="281"/>
      <c r="F117" s="281"/>
      <c r="G117" s="281"/>
      <c r="H117" s="281"/>
      <c r="I117" s="281"/>
      <c r="J117" s="281"/>
      <c r="K117" s="297" t="s">
        <v>119</v>
      </c>
      <c r="L117" s="281"/>
      <c r="M117" s="281"/>
    </row>
    <row r="118" spans="2:257" hidden="1" x14ac:dyDescent="0.25">
      <c r="C118" s="392" t="s">
        <v>120</v>
      </c>
      <c r="D118" s="281"/>
      <c r="E118" s="281"/>
      <c r="F118" s="281"/>
      <c r="G118" s="281"/>
      <c r="H118" s="281"/>
      <c r="I118" s="281"/>
      <c r="J118" s="281"/>
      <c r="K118" s="281" t="s">
        <v>121</v>
      </c>
      <c r="L118" s="281">
        <f>L112+L33</f>
        <v>0.0</v>
      </c>
      <c r="M118" s="281"/>
    </row>
    <row r="119" spans="2:257" s="262" customFormat="1" hidden="1" x14ac:dyDescent="0.25">
      <c r="B119" s="278"/>
      <c r="C119" s="392" t="s">
        <v>122</v>
      </c>
      <c r="D119" s="281"/>
      <c r="E119" s="281"/>
      <c r="F119" s="281"/>
      <c r="G119" s="281"/>
      <c r="H119" s="281"/>
      <c r="I119" s="281"/>
      <c r="J119" s="281"/>
      <c r="K119" s="281" t="s">
        <v>123</v>
      </c>
      <c r="L119" s="281"/>
      <c r="M119" s="281"/>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c r="BM119" s="258"/>
      <c r="BN119" s="258"/>
      <c r="BO119" s="258"/>
      <c r="BP119" s="258"/>
      <c r="BQ119" s="258"/>
      <c r="BR119" s="258"/>
      <c r="BS119" s="258"/>
      <c r="BT119" s="258"/>
      <c r="BU119" s="258"/>
      <c r="BV119" s="258"/>
      <c r="BW119" s="258"/>
      <c r="BX119" s="258"/>
      <c r="BY119" s="258"/>
      <c r="BZ119" s="258"/>
      <c r="CA119" s="258"/>
      <c r="CB119" s="258"/>
      <c r="CC119" s="258"/>
      <c r="CD119" s="258"/>
      <c r="CE119" s="258"/>
      <c r="CF119" s="258"/>
      <c r="CG119" s="258"/>
      <c r="CH119" s="258"/>
      <c r="CI119" s="258"/>
      <c r="CJ119" s="258"/>
      <c r="CK119" s="258"/>
      <c r="CL119" s="258"/>
      <c r="CM119" s="258"/>
      <c r="CN119" s="258"/>
      <c r="CO119" s="258"/>
      <c r="CP119" s="258"/>
      <c r="CQ119" s="258"/>
      <c r="CR119" s="258"/>
      <c r="CS119" s="258"/>
      <c r="CT119" s="258"/>
      <c r="CU119" s="258"/>
      <c r="CV119" s="258"/>
      <c r="CW119" s="258"/>
      <c r="CX119" s="258"/>
      <c r="CY119" s="258"/>
      <c r="CZ119" s="258"/>
      <c r="DA119" s="258"/>
      <c r="DB119" s="258"/>
      <c r="DC119" s="258"/>
      <c r="DD119" s="258"/>
      <c r="DE119" s="258"/>
      <c r="DF119" s="258"/>
      <c r="DG119" s="258"/>
      <c r="DH119" s="258"/>
      <c r="DI119" s="258"/>
      <c r="DJ119" s="258"/>
      <c r="DK119" s="258"/>
      <c r="DL119" s="258"/>
      <c r="DM119" s="258"/>
      <c r="DN119" s="258"/>
      <c r="DO119" s="258"/>
      <c r="DP119" s="258"/>
      <c r="DQ119" s="258"/>
      <c r="DR119" s="258"/>
      <c r="DS119" s="258"/>
      <c r="DT119" s="258"/>
      <c r="DU119" s="258"/>
      <c r="DV119" s="258"/>
      <c r="DW119" s="258"/>
      <c r="DX119" s="258"/>
      <c r="DY119" s="258"/>
      <c r="DZ119" s="258"/>
      <c r="EA119" s="258"/>
      <c r="EB119" s="258"/>
      <c r="EC119" s="258"/>
      <c r="ED119" s="258"/>
      <c r="EE119" s="258"/>
      <c r="EF119" s="258"/>
      <c r="EG119" s="258"/>
      <c r="EH119" s="258"/>
      <c r="EI119" s="258"/>
      <c r="EJ119" s="258"/>
      <c r="EK119" s="258"/>
      <c r="EL119" s="258"/>
      <c r="EM119" s="258"/>
      <c r="EN119" s="258"/>
      <c r="EO119" s="258"/>
      <c r="EP119" s="258"/>
      <c r="EQ119" s="258"/>
      <c r="ER119" s="258"/>
      <c r="ES119" s="258"/>
      <c r="ET119" s="258"/>
      <c r="EU119" s="258"/>
      <c r="EV119" s="258"/>
      <c r="EW119" s="258"/>
      <c r="EX119" s="258"/>
      <c r="EY119" s="258"/>
      <c r="EZ119" s="258"/>
      <c r="FA119" s="258"/>
      <c r="FB119" s="258"/>
      <c r="FC119" s="258"/>
      <c r="FD119" s="258"/>
      <c r="FE119" s="258"/>
      <c r="FF119" s="258"/>
      <c r="FG119" s="258"/>
      <c r="FH119" s="258"/>
      <c r="FI119" s="258"/>
      <c r="FJ119" s="258"/>
      <c r="FK119" s="258"/>
      <c r="FL119" s="258"/>
      <c r="FM119" s="258"/>
      <c r="FN119" s="258"/>
      <c r="FO119" s="258"/>
      <c r="FP119" s="258"/>
      <c r="FQ119" s="258"/>
      <c r="FR119" s="258"/>
      <c r="FS119" s="258"/>
      <c r="FT119" s="258"/>
      <c r="FU119" s="258"/>
      <c r="FV119" s="258"/>
      <c r="FW119" s="258"/>
      <c r="FX119" s="258"/>
      <c r="FY119" s="258"/>
      <c r="FZ119" s="258"/>
      <c r="GA119" s="258"/>
      <c r="GB119" s="258"/>
      <c r="GC119" s="258"/>
      <c r="GD119" s="258"/>
      <c r="GE119" s="258"/>
      <c r="GF119" s="258"/>
      <c r="GG119" s="258"/>
      <c r="GH119" s="258"/>
      <c r="GI119" s="258"/>
      <c r="GJ119" s="258"/>
      <c r="GK119" s="258"/>
      <c r="GL119" s="258"/>
      <c r="GM119" s="258"/>
      <c r="GN119" s="258"/>
      <c r="GO119" s="258"/>
      <c r="GP119" s="258"/>
      <c r="GQ119" s="258"/>
      <c r="GR119" s="258"/>
      <c r="GS119" s="258"/>
      <c r="GT119" s="258"/>
      <c r="GU119" s="258"/>
      <c r="GV119" s="258"/>
      <c r="GW119" s="258"/>
      <c r="GX119" s="258"/>
      <c r="GY119" s="258"/>
      <c r="GZ119" s="258"/>
      <c r="HA119" s="258"/>
      <c r="HB119" s="258"/>
      <c r="HC119" s="258"/>
      <c r="HD119" s="258"/>
      <c r="HE119" s="258"/>
      <c r="HF119" s="258"/>
      <c r="HG119" s="258"/>
      <c r="HH119" s="258"/>
      <c r="HI119" s="258"/>
      <c r="HJ119" s="258"/>
      <c r="HK119" s="258"/>
      <c r="HL119" s="258"/>
      <c r="HM119" s="258"/>
      <c r="HN119" s="258"/>
      <c r="HO119" s="258"/>
      <c r="HP119" s="258"/>
      <c r="HQ119" s="258"/>
      <c r="HR119" s="258"/>
      <c r="HS119" s="258"/>
      <c r="HT119" s="258"/>
      <c r="HU119" s="258"/>
      <c r="HV119" s="258"/>
      <c r="HW119" s="258"/>
      <c r="HX119" s="258"/>
      <c r="HY119" s="258"/>
      <c r="HZ119" s="258"/>
      <c r="IA119" s="258"/>
      <c r="IB119" s="258"/>
      <c r="IC119" s="258"/>
      <c r="ID119" s="258"/>
      <c r="IE119" s="258"/>
      <c r="IF119" s="258"/>
      <c r="IG119" s="258"/>
      <c r="IH119" s="258"/>
      <c r="II119" s="258"/>
      <c r="IJ119" s="258"/>
      <c r="IK119" s="258"/>
      <c r="IL119" s="258"/>
      <c r="IM119" s="258"/>
      <c r="IN119" s="258"/>
      <c r="IO119" s="258"/>
      <c r="IP119" s="258"/>
      <c r="IQ119" s="258"/>
      <c r="IR119" s="258"/>
      <c r="IS119" s="258"/>
      <c r="IT119" s="258"/>
      <c r="IU119" s="258"/>
      <c r="IV119" s="258"/>
      <c r="IW119" s="258"/>
    </row>
    <row r="120" spans="2:257" s="262" customFormat="1" hidden="1" x14ac:dyDescent="0.25">
      <c r="B120" s="278"/>
      <c r="C120" s="392" t="s">
        <v>124</v>
      </c>
      <c r="D120" s="827">
        <f>D112+D33+D118+D119</f>
        <v>0.0</v>
      </c>
      <c r="E120" s="281"/>
      <c r="F120" s="281"/>
      <c r="G120" s="281"/>
      <c r="H120" s="281"/>
      <c r="I120" s="281"/>
      <c r="J120" s="281"/>
      <c r="K120" s="281"/>
      <c r="L120" s="281">
        <f>L118-L119</f>
        <v>0.0</v>
      </c>
      <c r="M120" s="281"/>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c r="BM120" s="258"/>
      <c r="BN120" s="258"/>
      <c r="BO120" s="258"/>
      <c r="BP120" s="258"/>
      <c r="BQ120" s="258"/>
      <c r="BR120" s="258"/>
      <c r="BS120" s="258"/>
      <c r="BT120" s="258"/>
      <c r="BU120" s="258"/>
      <c r="BV120" s="258"/>
      <c r="BW120" s="258"/>
      <c r="BX120" s="258"/>
      <c r="BY120" s="258"/>
      <c r="BZ120" s="258"/>
      <c r="CA120" s="258"/>
      <c r="CB120" s="258"/>
      <c r="CC120" s="258"/>
      <c r="CD120" s="258"/>
      <c r="CE120" s="258"/>
      <c r="CF120" s="258"/>
      <c r="CG120" s="258"/>
      <c r="CH120" s="258"/>
      <c r="CI120" s="258"/>
      <c r="CJ120" s="258"/>
      <c r="CK120" s="258"/>
      <c r="CL120" s="258"/>
      <c r="CM120" s="258"/>
      <c r="CN120" s="258"/>
      <c r="CO120" s="258"/>
      <c r="CP120" s="258"/>
      <c r="CQ120" s="258"/>
      <c r="CR120" s="258"/>
      <c r="CS120" s="258"/>
      <c r="CT120" s="258"/>
      <c r="CU120" s="258"/>
      <c r="CV120" s="258"/>
      <c r="CW120" s="258"/>
      <c r="CX120" s="258"/>
      <c r="CY120" s="258"/>
      <c r="CZ120" s="258"/>
      <c r="DA120" s="258"/>
      <c r="DB120" s="258"/>
      <c r="DC120" s="258"/>
      <c r="DD120" s="258"/>
      <c r="DE120" s="258"/>
      <c r="DF120" s="258"/>
      <c r="DG120" s="258"/>
      <c r="DH120" s="258"/>
      <c r="DI120" s="258"/>
      <c r="DJ120" s="258"/>
      <c r="DK120" s="258"/>
      <c r="DL120" s="258"/>
      <c r="DM120" s="258"/>
      <c r="DN120" s="258"/>
      <c r="DO120" s="258"/>
      <c r="DP120" s="258"/>
      <c r="DQ120" s="258"/>
      <c r="DR120" s="258"/>
      <c r="DS120" s="258"/>
      <c r="DT120" s="258"/>
      <c r="DU120" s="258"/>
      <c r="DV120" s="258"/>
      <c r="DW120" s="258"/>
      <c r="DX120" s="258"/>
      <c r="DY120" s="258"/>
      <c r="DZ120" s="258"/>
      <c r="EA120" s="258"/>
      <c r="EB120" s="258"/>
      <c r="EC120" s="258"/>
      <c r="ED120" s="258"/>
      <c r="EE120" s="258"/>
      <c r="EF120" s="258"/>
      <c r="EG120" s="258"/>
      <c r="EH120" s="258"/>
      <c r="EI120" s="258"/>
      <c r="EJ120" s="258"/>
      <c r="EK120" s="258"/>
      <c r="EL120" s="258"/>
      <c r="EM120" s="258"/>
      <c r="EN120" s="258"/>
      <c r="EO120" s="258"/>
      <c r="EP120" s="258"/>
      <c r="EQ120" s="258"/>
      <c r="ER120" s="258"/>
      <c r="ES120" s="258"/>
      <c r="ET120" s="258"/>
      <c r="EU120" s="258"/>
      <c r="EV120" s="258"/>
      <c r="EW120" s="258"/>
      <c r="EX120" s="258"/>
      <c r="EY120" s="258"/>
      <c r="EZ120" s="258"/>
      <c r="FA120" s="258"/>
      <c r="FB120" s="258"/>
      <c r="FC120" s="258"/>
      <c r="FD120" s="258"/>
      <c r="FE120" s="258"/>
      <c r="FF120" s="258"/>
      <c r="FG120" s="258"/>
      <c r="FH120" s="258"/>
      <c r="FI120" s="258"/>
      <c r="FJ120" s="258"/>
      <c r="FK120" s="258"/>
      <c r="FL120" s="258"/>
      <c r="FM120" s="258"/>
      <c r="FN120" s="258"/>
      <c r="FO120" s="258"/>
      <c r="FP120" s="258"/>
      <c r="FQ120" s="258"/>
      <c r="FR120" s="258"/>
      <c r="FS120" s="258"/>
      <c r="FT120" s="258"/>
      <c r="FU120" s="258"/>
      <c r="FV120" s="258"/>
      <c r="FW120" s="258"/>
      <c r="FX120" s="258"/>
      <c r="FY120" s="258"/>
      <c r="FZ120" s="258"/>
      <c r="GA120" s="258"/>
      <c r="GB120" s="258"/>
      <c r="GC120" s="258"/>
      <c r="GD120" s="258"/>
      <c r="GE120" s="258"/>
      <c r="GF120" s="258"/>
      <c r="GG120" s="258"/>
      <c r="GH120" s="258"/>
      <c r="GI120" s="258"/>
      <c r="GJ120" s="258"/>
      <c r="GK120" s="258"/>
      <c r="GL120" s="258"/>
      <c r="GM120" s="258"/>
      <c r="GN120" s="258"/>
      <c r="GO120" s="258"/>
      <c r="GP120" s="258"/>
      <c r="GQ120" s="258"/>
      <c r="GR120" s="258"/>
      <c r="GS120" s="258"/>
      <c r="GT120" s="258"/>
      <c r="GU120" s="258"/>
      <c r="GV120" s="258"/>
      <c r="GW120" s="258"/>
      <c r="GX120" s="258"/>
      <c r="GY120" s="258"/>
      <c r="GZ120" s="258"/>
      <c r="HA120" s="258"/>
      <c r="HB120" s="258"/>
      <c r="HC120" s="258"/>
      <c r="HD120" s="258"/>
      <c r="HE120" s="258"/>
      <c r="HF120" s="258"/>
      <c r="HG120" s="258"/>
      <c r="HH120" s="258"/>
      <c r="HI120" s="258"/>
      <c r="HJ120" s="258"/>
      <c r="HK120" s="258"/>
      <c r="HL120" s="258"/>
      <c r="HM120" s="258"/>
      <c r="HN120" s="258"/>
      <c r="HO120" s="258"/>
      <c r="HP120" s="258"/>
      <c r="HQ120" s="258"/>
      <c r="HR120" s="258"/>
      <c r="HS120" s="258"/>
      <c r="HT120" s="258"/>
      <c r="HU120" s="258"/>
      <c r="HV120" s="258"/>
      <c r="HW120" s="258"/>
      <c r="HX120" s="258"/>
      <c r="HY120" s="258"/>
      <c r="HZ120" s="258"/>
      <c r="IA120" s="258"/>
      <c r="IB120" s="258"/>
      <c r="IC120" s="258"/>
      <c r="ID120" s="258"/>
      <c r="IE120" s="258"/>
      <c r="IF120" s="258"/>
      <c r="IG120" s="258"/>
      <c r="IH120" s="258"/>
      <c r="II120" s="258"/>
      <c r="IJ120" s="258"/>
      <c r="IK120" s="258"/>
      <c r="IL120" s="258"/>
      <c r="IM120" s="258"/>
      <c r="IN120" s="258"/>
      <c r="IO120" s="258"/>
      <c r="IP120" s="258"/>
      <c r="IQ120" s="258"/>
      <c r="IR120" s="258"/>
      <c r="IS120" s="258"/>
      <c r="IT120" s="258"/>
      <c r="IU120" s="258"/>
      <c r="IV120" s="258"/>
      <c r="IW120" s="258"/>
    </row>
    <row r="121" spans="2:257" s="262" customFormat="1" x14ac:dyDescent="0.25">
      <c r="B121" s="278"/>
      <c r="C121" s="392" t="s">
        <v>125</v>
      </c>
      <c r="D121" s="827"/>
      <c r="E121" s="281"/>
      <c r="F121" s="281"/>
      <c r="G121" s="281"/>
      <c r="H121" s="281"/>
      <c r="I121" s="281"/>
      <c r="J121" s="281"/>
      <c r="K121" s="281"/>
      <c r="L121" s="281"/>
      <c r="M121" s="281"/>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c r="BM121" s="258"/>
      <c r="BN121" s="258"/>
      <c r="BO121" s="258"/>
      <c r="BP121" s="258"/>
      <c r="BQ121" s="258"/>
      <c r="BR121" s="258"/>
      <c r="BS121" s="258"/>
      <c r="BT121" s="258"/>
      <c r="BU121" s="258"/>
      <c r="BV121" s="258"/>
      <c r="BW121" s="258"/>
      <c r="BX121" s="258"/>
      <c r="BY121" s="258"/>
      <c r="BZ121" s="258"/>
      <c r="CA121" s="258"/>
      <c r="CB121" s="258"/>
      <c r="CC121" s="258"/>
      <c r="CD121" s="258"/>
      <c r="CE121" s="258"/>
      <c r="CF121" s="258"/>
      <c r="CG121" s="258"/>
      <c r="CH121" s="258"/>
      <c r="CI121" s="258"/>
      <c r="CJ121" s="258"/>
      <c r="CK121" s="258"/>
      <c r="CL121" s="258"/>
      <c r="CM121" s="258"/>
      <c r="CN121" s="258"/>
      <c r="CO121" s="258"/>
      <c r="CP121" s="258"/>
      <c r="CQ121" s="258"/>
      <c r="CR121" s="258"/>
      <c r="CS121" s="258"/>
      <c r="CT121" s="258"/>
      <c r="CU121" s="258"/>
      <c r="CV121" s="258"/>
      <c r="CW121" s="258"/>
      <c r="CX121" s="258"/>
      <c r="CY121" s="258"/>
      <c r="CZ121" s="258"/>
      <c r="DA121" s="258"/>
      <c r="DB121" s="258"/>
      <c r="DC121" s="258"/>
      <c r="DD121" s="258"/>
      <c r="DE121" s="258"/>
      <c r="DF121" s="258"/>
      <c r="DG121" s="258"/>
      <c r="DH121" s="258"/>
      <c r="DI121" s="258"/>
      <c r="DJ121" s="258"/>
      <c r="DK121" s="258"/>
      <c r="DL121" s="258"/>
      <c r="DM121" s="258"/>
      <c r="DN121" s="258"/>
      <c r="DO121" s="258"/>
      <c r="DP121" s="258"/>
      <c r="DQ121" s="258"/>
      <c r="DR121" s="258"/>
      <c r="DS121" s="258"/>
      <c r="DT121" s="258"/>
      <c r="DU121" s="258"/>
      <c r="DV121" s="258"/>
      <c r="DW121" s="258"/>
      <c r="DX121" s="258"/>
      <c r="DY121" s="258"/>
      <c r="DZ121" s="258"/>
      <c r="EA121" s="258"/>
      <c r="EB121" s="258"/>
      <c r="EC121" s="258"/>
      <c r="ED121" s="258"/>
      <c r="EE121" s="258"/>
      <c r="EF121" s="258"/>
      <c r="EG121" s="258"/>
      <c r="EH121" s="258"/>
      <c r="EI121" s="258"/>
      <c r="EJ121" s="258"/>
      <c r="EK121" s="258"/>
      <c r="EL121" s="258"/>
      <c r="EM121" s="258"/>
      <c r="EN121" s="258"/>
      <c r="EO121" s="258"/>
      <c r="EP121" s="258"/>
      <c r="EQ121" s="258"/>
      <c r="ER121" s="258"/>
      <c r="ES121" s="258"/>
      <c r="ET121" s="258"/>
      <c r="EU121" s="258"/>
      <c r="EV121" s="258"/>
      <c r="EW121" s="258"/>
      <c r="EX121" s="258"/>
      <c r="EY121" s="258"/>
      <c r="EZ121" s="258"/>
      <c r="FA121" s="258"/>
      <c r="FB121" s="258"/>
      <c r="FC121" s="258"/>
      <c r="FD121" s="258"/>
      <c r="FE121" s="258"/>
      <c r="FF121" s="258"/>
      <c r="FG121" s="258"/>
      <c r="FH121" s="258"/>
      <c r="FI121" s="258"/>
      <c r="FJ121" s="258"/>
      <c r="FK121" s="258"/>
      <c r="FL121" s="258"/>
      <c r="FM121" s="258"/>
      <c r="FN121" s="258"/>
      <c r="FO121" s="258"/>
      <c r="FP121" s="258"/>
      <c r="FQ121" s="258"/>
      <c r="FR121" s="258"/>
      <c r="FS121" s="258"/>
      <c r="FT121" s="258"/>
      <c r="FU121" s="258"/>
      <c r="FV121" s="258"/>
      <c r="FW121" s="258"/>
      <c r="FX121" s="258"/>
      <c r="FY121" s="258"/>
      <c r="FZ121" s="258"/>
      <c r="GA121" s="258"/>
      <c r="GB121" s="258"/>
      <c r="GC121" s="258"/>
      <c r="GD121" s="258"/>
      <c r="GE121" s="258"/>
      <c r="GF121" s="258"/>
      <c r="GG121" s="258"/>
      <c r="GH121" s="258"/>
      <c r="GI121" s="258"/>
      <c r="GJ121" s="258"/>
      <c r="GK121" s="258"/>
      <c r="GL121" s="258"/>
      <c r="GM121" s="258"/>
      <c r="GN121" s="258"/>
      <c r="GO121" s="258"/>
      <c r="GP121" s="258"/>
      <c r="GQ121" s="258"/>
      <c r="GR121" s="258"/>
      <c r="GS121" s="258"/>
      <c r="GT121" s="258"/>
      <c r="GU121" s="258"/>
      <c r="GV121" s="258"/>
      <c r="GW121" s="258"/>
      <c r="GX121" s="258"/>
      <c r="GY121" s="258"/>
      <c r="GZ121" s="258"/>
      <c r="HA121" s="258"/>
      <c r="HB121" s="258"/>
      <c r="HC121" s="258"/>
      <c r="HD121" s="258"/>
      <c r="HE121" s="258"/>
      <c r="HF121" s="258"/>
      <c r="HG121" s="258"/>
      <c r="HH121" s="258"/>
      <c r="HI121" s="258"/>
      <c r="HJ121" s="258"/>
      <c r="HK121" s="258"/>
      <c r="HL121" s="258"/>
      <c r="HM121" s="258"/>
      <c r="HN121" s="258"/>
      <c r="HO121" s="258"/>
      <c r="HP121" s="258"/>
      <c r="HQ121" s="258"/>
      <c r="HR121" s="258"/>
      <c r="HS121" s="258"/>
      <c r="HT121" s="258"/>
      <c r="HU121" s="258"/>
      <c r="HV121" s="258"/>
      <c r="HW121" s="258"/>
      <c r="HX121" s="258"/>
      <c r="HY121" s="258"/>
      <c r="HZ121" s="258"/>
      <c r="IA121" s="258"/>
      <c r="IB121" s="258"/>
      <c r="IC121" s="258"/>
      <c r="ID121" s="258"/>
      <c r="IE121" s="258"/>
      <c r="IF121" s="258"/>
      <c r="IG121" s="258"/>
      <c r="IH121" s="258"/>
      <c r="II121" s="258"/>
      <c r="IJ121" s="258"/>
      <c r="IK121" s="258"/>
      <c r="IL121" s="258"/>
      <c r="IM121" s="258"/>
      <c r="IN121" s="258"/>
      <c r="IO121" s="258"/>
      <c r="IP121" s="258"/>
      <c r="IQ121" s="258"/>
      <c r="IR121" s="258"/>
      <c r="IS121" s="258"/>
      <c r="IT121" s="258"/>
      <c r="IU121" s="258"/>
      <c r="IV121" s="258"/>
      <c r="IW121" s="258"/>
    </row>
    <row r="122" spans="2:257" s="262" customFormat="1" x14ac:dyDescent="0.25">
      <c r="B122" s="278"/>
      <c r="C122" s="392" t="s">
        <v>126</v>
      </c>
      <c r="D122" s="827">
        <f>D120-D121</f>
        <v>0.0</v>
      </c>
      <c r="E122" s="281"/>
      <c r="F122" s="281"/>
      <c r="G122" s="296"/>
      <c r="H122" s="298"/>
      <c r="I122" s="299"/>
      <c r="J122" s="300"/>
      <c r="K122" s="301"/>
      <c r="L122" s="302"/>
      <c r="M122" s="303"/>
      <c r="N122" s="303"/>
      <c r="O122" s="303"/>
      <c r="P122" s="304"/>
      <c r="Q122" s="304"/>
      <c r="R122" s="305"/>
      <c r="S122" s="303"/>
      <c r="T122" s="304"/>
      <c r="U122" s="306"/>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c r="BM122" s="258"/>
      <c r="BN122" s="258"/>
      <c r="BO122" s="258"/>
      <c r="BP122" s="258"/>
      <c r="BQ122" s="258"/>
      <c r="BR122" s="258"/>
      <c r="BS122" s="258"/>
      <c r="BT122" s="258"/>
      <c r="BU122" s="258"/>
      <c r="BV122" s="258"/>
      <c r="BW122" s="258"/>
      <c r="BX122" s="258"/>
      <c r="BY122" s="258"/>
      <c r="BZ122" s="258"/>
      <c r="CA122" s="258"/>
      <c r="CB122" s="258"/>
      <c r="CC122" s="258"/>
      <c r="CD122" s="258"/>
      <c r="CE122" s="258"/>
      <c r="CF122" s="258"/>
      <c r="CG122" s="258"/>
      <c r="CH122" s="258"/>
      <c r="CI122" s="258"/>
      <c r="CJ122" s="258"/>
      <c r="CK122" s="258"/>
      <c r="CL122" s="258"/>
      <c r="CM122" s="258"/>
      <c r="CN122" s="258"/>
      <c r="CO122" s="258"/>
      <c r="CP122" s="258"/>
      <c r="CQ122" s="258"/>
      <c r="CR122" s="258"/>
      <c r="CS122" s="258"/>
      <c r="CT122" s="258"/>
      <c r="CU122" s="258"/>
      <c r="CV122" s="258"/>
      <c r="CW122" s="258"/>
      <c r="CX122" s="258"/>
      <c r="CY122" s="258"/>
      <c r="CZ122" s="258"/>
      <c r="DA122" s="258"/>
      <c r="DB122" s="258"/>
      <c r="DC122" s="258"/>
      <c r="DD122" s="258"/>
      <c r="DE122" s="258"/>
      <c r="DF122" s="258"/>
      <c r="DG122" s="258"/>
      <c r="DH122" s="258"/>
      <c r="DI122" s="258"/>
      <c r="DJ122" s="258"/>
      <c r="DK122" s="258"/>
      <c r="DL122" s="258"/>
      <c r="DM122" s="258"/>
      <c r="DN122" s="258"/>
      <c r="DO122" s="258"/>
      <c r="DP122" s="258"/>
      <c r="DQ122" s="258"/>
      <c r="DR122" s="258"/>
      <c r="DS122" s="258"/>
      <c r="DT122" s="258"/>
      <c r="DU122" s="258"/>
      <c r="DV122" s="258"/>
      <c r="DW122" s="258"/>
      <c r="DX122" s="258"/>
      <c r="DY122" s="258"/>
      <c r="DZ122" s="258"/>
      <c r="EA122" s="258"/>
      <c r="EB122" s="258"/>
      <c r="EC122" s="258"/>
      <c r="ED122" s="258"/>
      <c r="EE122" s="258"/>
      <c r="EF122" s="258"/>
      <c r="EG122" s="258"/>
      <c r="EH122" s="258"/>
      <c r="EI122" s="258"/>
      <c r="EJ122" s="258"/>
      <c r="EK122" s="258"/>
      <c r="EL122" s="258"/>
      <c r="EM122" s="258"/>
      <c r="EN122" s="258"/>
      <c r="EO122" s="258"/>
      <c r="EP122" s="258"/>
      <c r="EQ122" s="258"/>
      <c r="ER122" s="258"/>
      <c r="ES122" s="258"/>
      <c r="ET122" s="258"/>
      <c r="EU122" s="258"/>
      <c r="EV122" s="258"/>
      <c r="EW122" s="258"/>
      <c r="EX122" s="258"/>
      <c r="EY122" s="258"/>
      <c r="EZ122" s="258"/>
      <c r="FA122" s="258"/>
      <c r="FB122" s="258"/>
      <c r="FC122" s="258"/>
      <c r="FD122" s="258"/>
      <c r="FE122" s="258"/>
      <c r="FF122" s="258"/>
      <c r="FG122" s="258"/>
      <c r="FH122" s="258"/>
      <c r="FI122" s="258"/>
      <c r="FJ122" s="258"/>
      <c r="FK122" s="258"/>
      <c r="FL122" s="258"/>
      <c r="FM122" s="258"/>
      <c r="FN122" s="258"/>
      <c r="FO122" s="258"/>
      <c r="FP122" s="258"/>
      <c r="FQ122" s="258"/>
      <c r="FR122" s="258"/>
      <c r="FS122" s="258"/>
      <c r="FT122" s="258"/>
      <c r="FU122" s="258"/>
      <c r="FV122" s="258"/>
      <c r="FW122" s="258"/>
      <c r="FX122" s="258"/>
      <c r="FY122" s="258"/>
      <c r="FZ122" s="258"/>
      <c r="GA122" s="258"/>
      <c r="GB122" s="258"/>
      <c r="GC122" s="258"/>
      <c r="GD122" s="258"/>
      <c r="GE122" s="258"/>
      <c r="GF122" s="258"/>
      <c r="GG122" s="258"/>
      <c r="GH122" s="258"/>
      <c r="GI122" s="258"/>
      <c r="GJ122" s="258"/>
      <c r="GK122" s="258"/>
      <c r="GL122" s="258"/>
      <c r="GM122" s="258"/>
      <c r="GN122" s="258"/>
      <c r="GO122" s="258"/>
      <c r="GP122" s="258"/>
      <c r="GQ122" s="258"/>
      <c r="GR122" s="258"/>
      <c r="GS122" s="258"/>
      <c r="GT122" s="258"/>
      <c r="GU122" s="258"/>
      <c r="GV122" s="258"/>
      <c r="GW122" s="258"/>
      <c r="GX122" s="258"/>
      <c r="GY122" s="258"/>
      <c r="GZ122" s="258"/>
      <c r="HA122" s="258"/>
      <c r="HB122" s="258"/>
      <c r="HC122" s="258"/>
      <c r="HD122" s="258"/>
      <c r="HE122" s="258"/>
      <c r="HF122" s="258"/>
      <c r="HG122" s="258"/>
      <c r="HH122" s="258"/>
      <c r="HI122" s="258"/>
      <c r="HJ122" s="258"/>
      <c r="HK122" s="258"/>
      <c r="HL122" s="258"/>
      <c r="HM122" s="258"/>
      <c r="HN122" s="258"/>
      <c r="HO122" s="258"/>
      <c r="HP122" s="258"/>
      <c r="HQ122" s="258"/>
      <c r="HR122" s="258"/>
      <c r="HS122" s="258"/>
      <c r="HT122" s="258"/>
      <c r="HU122" s="258"/>
      <c r="HV122" s="258"/>
      <c r="HW122" s="258"/>
      <c r="HX122" s="258"/>
      <c r="HY122" s="258"/>
      <c r="HZ122" s="258"/>
      <c r="IA122" s="258"/>
      <c r="IB122" s="258"/>
      <c r="IC122" s="258"/>
      <c r="ID122" s="258"/>
      <c r="IE122" s="258"/>
      <c r="IF122" s="258"/>
      <c r="IG122" s="258"/>
      <c r="IH122" s="258"/>
      <c r="II122" s="258"/>
      <c r="IJ122" s="258"/>
      <c r="IK122" s="258"/>
      <c r="IL122" s="258"/>
      <c r="IM122" s="258"/>
      <c r="IN122" s="258"/>
      <c r="IO122" s="258"/>
      <c r="IP122" s="258"/>
      <c r="IQ122" s="258"/>
      <c r="IR122" s="258"/>
      <c r="IS122" s="258"/>
      <c r="IT122" s="258"/>
      <c r="IU122" s="258"/>
      <c r="IV122" s="258"/>
      <c r="IW122" s="258"/>
    </row>
    <row r="123" spans="2:257" s="262" customFormat="1" x14ac:dyDescent="0.25">
      <c r="B123" s="278"/>
      <c r="C123" s="278"/>
      <c r="D123" s="281"/>
      <c r="E123" s="281"/>
      <c r="F123" s="281"/>
      <c r="G123" s="296"/>
      <c r="H123" s="298"/>
      <c r="I123" s="299"/>
      <c r="J123" s="300"/>
      <c r="K123" s="301"/>
      <c r="L123" s="302"/>
      <c r="M123" s="303"/>
      <c r="N123" s="303"/>
      <c r="O123" s="303"/>
      <c r="P123" s="304"/>
      <c r="Q123" s="304"/>
      <c r="R123" s="305"/>
      <c r="S123" s="303"/>
      <c r="T123" s="304"/>
      <c r="U123" s="306"/>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c r="BM123" s="258"/>
      <c r="BN123" s="258"/>
      <c r="BO123" s="258"/>
      <c r="BP123" s="258"/>
      <c r="BQ123" s="258"/>
      <c r="BR123" s="258"/>
      <c r="BS123" s="258"/>
      <c r="BT123" s="258"/>
      <c r="BU123" s="258"/>
      <c r="BV123" s="258"/>
      <c r="BW123" s="258"/>
      <c r="BX123" s="258"/>
      <c r="BY123" s="258"/>
      <c r="BZ123" s="258"/>
      <c r="CA123" s="258"/>
      <c r="CB123" s="258"/>
      <c r="CC123" s="258"/>
      <c r="CD123" s="258"/>
      <c r="CE123" s="258"/>
      <c r="CF123" s="258"/>
      <c r="CG123" s="258"/>
      <c r="CH123" s="258"/>
      <c r="CI123" s="258"/>
      <c r="CJ123" s="258"/>
      <c r="CK123" s="258"/>
      <c r="CL123" s="258"/>
      <c r="CM123" s="258"/>
      <c r="CN123" s="258"/>
      <c r="CO123" s="258"/>
      <c r="CP123" s="258"/>
      <c r="CQ123" s="258"/>
      <c r="CR123" s="258"/>
      <c r="CS123" s="258"/>
      <c r="CT123" s="258"/>
      <c r="CU123" s="258"/>
      <c r="CV123" s="258"/>
      <c r="CW123" s="258"/>
      <c r="CX123" s="258"/>
      <c r="CY123" s="258"/>
      <c r="CZ123" s="258"/>
      <c r="DA123" s="258"/>
      <c r="DB123" s="258"/>
      <c r="DC123" s="258"/>
      <c r="DD123" s="258"/>
      <c r="DE123" s="258"/>
      <c r="DF123" s="258"/>
      <c r="DG123" s="258"/>
      <c r="DH123" s="258"/>
      <c r="DI123" s="258"/>
      <c r="DJ123" s="258"/>
      <c r="DK123" s="258"/>
      <c r="DL123" s="258"/>
      <c r="DM123" s="258"/>
      <c r="DN123" s="258"/>
      <c r="DO123" s="258"/>
      <c r="DP123" s="258"/>
      <c r="DQ123" s="258"/>
      <c r="DR123" s="258"/>
      <c r="DS123" s="258"/>
      <c r="DT123" s="258"/>
      <c r="DU123" s="258"/>
      <c r="DV123" s="258"/>
      <c r="DW123" s="258"/>
      <c r="DX123" s="258"/>
      <c r="DY123" s="258"/>
      <c r="DZ123" s="258"/>
      <c r="EA123" s="258"/>
      <c r="EB123" s="258"/>
      <c r="EC123" s="258"/>
      <c r="ED123" s="258"/>
      <c r="EE123" s="258"/>
      <c r="EF123" s="258"/>
      <c r="EG123" s="258"/>
      <c r="EH123" s="258"/>
      <c r="EI123" s="258"/>
      <c r="EJ123" s="258"/>
      <c r="EK123" s="258"/>
      <c r="EL123" s="258"/>
      <c r="EM123" s="258"/>
      <c r="EN123" s="258"/>
      <c r="EO123" s="258"/>
      <c r="EP123" s="258"/>
      <c r="EQ123" s="258"/>
      <c r="ER123" s="258"/>
      <c r="ES123" s="258"/>
      <c r="ET123" s="258"/>
      <c r="EU123" s="258"/>
      <c r="EV123" s="258"/>
      <c r="EW123" s="258"/>
      <c r="EX123" s="258"/>
      <c r="EY123" s="258"/>
      <c r="EZ123" s="258"/>
      <c r="FA123" s="258"/>
      <c r="FB123" s="258"/>
      <c r="FC123" s="258"/>
      <c r="FD123" s="258"/>
      <c r="FE123" s="258"/>
      <c r="FF123" s="258"/>
      <c r="FG123" s="258"/>
      <c r="FH123" s="258"/>
      <c r="FI123" s="258"/>
      <c r="FJ123" s="258"/>
      <c r="FK123" s="258"/>
      <c r="FL123" s="258"/>
      <c r="FM123" s="258"/>
      <c r="FN123" s="258"/>
      <c r="FO123" s="258"/>
      <c r="FP123" s="258"/>
      <c r="FQ123" s="258"/>
      <c r="FR123" s="258"/>
      <c r="FS123" s="258"/>
      <c r="FT123" s="258"/>
      <c r="FU123" s="258"/>
      <c r="FV123" s="258"/>
      <c r="FW123" s="258"/>
      <c r="FX123" s="258"/>
      <c r="FY123" s="258"/>
      <c r="FZ123" s="258"/>
      <c r="GA123" s="258"/>
      <c r="GB123" s="258"/>
      <c r="GC123" s="258"/>
      <c r="GD123" s="258"/>
      <c r="GE123" s="258"/>
      <c r="GF123" s="258"/>
      <c r="GG123" s="258"/>
      <c r="GH123" s="258"/>
      <c r="GI123" s="258"/>
      <c r="GJ123" s="258"/>
      <c r="GK123" s="258"/>
      <c r="GL123" s="258"/>
      <c r="GM123" s="258"/>
      <c r="GN123" s="258"/>
      <c r="GO123" s="258"/>
      <c r="GP123" s="258"/>
      <c r="GQ123" s="258"/>
      <c r="GR123" s="258"/>
      <c r="GS123" s="258"/>
      <c r="GT123" s="258"/>
      <c r="GU123" s="258"/>
      <c r="GV123" s="258"/>
      <c r="GW123" s="258"/>
      <c r="GX123" s="258"/>
      <c r="GY123" s="258"/>
      <c r="GZ123" s="258"/>
      <c r="HA123" s="258"/>
      <c r="HB123" s="258"/>
      <c r="HC123" s="258"/>
      <c r="HD123" s="258"/>
      <c r="HE123" s="258"/>
      <c r="HF123" s="258"/>
      <c r="HG123" s="258"/>
      <c r="HH123" s="258"/>
      <c r="HI123" s="258"/>
      <c r="HJ123" s="258"/>
      <c r="HK123" s="258"/>
      <c r="HL123" s="258"/>
      <c r="HM123" s="258"/>
      <c r="HN123" s="258"/>
      <c r="HO123" s="258"/>
      <c r="HP123" s="258"/>
      <c r="HQ123" s="258"/>
      <c r="HR123" s="258"/>
      <c r="HS123" s="258"/>
      <c r="HT123" s="258"/>
      <c r="HU123" s="258"/>
      <c r="HV123" s="258"/>
      <c r="HW123" s="258"/>
      <c r="HX123" s="258"/>
      <c r="HY123" s="258"/>
      <c r="HZ123" s="258"/>
      <c r="IA123" s="258"/>
      <c r="IB123" s="258"/>
      <c r="IC123" s="258"/>
      <c r="ID123" s="258"/>
      <c r="IE123" s="258"/>
      <c r="IF123" s="258"/>
      <c r="IG123" s="258"/>
      <c r="IH123" s="258"/>
      <c r="II123" s="258"/>
      <c r="IJ123" s="258"/>
      <c r="IK123" s="258"/>
      <c r="IL123" s="258"/>
      <c r="IM123" s="258"/>
      <c r="IN123" s="258"/>
      <c r="IO123" s="258"/>
      <c r="IP123" s="258"/>
      <c r="IQ123" s="258"/>
      <c r="IR123" s="258"/>
      <c r="IS123" s="258"/>
      <c r="IT123" s="258"/>
      <c r="IU123" s="258"/>
      <c r="IV123" s="258"/>
      <c r="IW123" s="258"/>
    </row>
    <row r="124" spans="2:257" s="262" customFormat="1" x14ac:dyDescent="0.25">
      <c r="B124" s="278"/>
      <c r="C124" s="307"/>
      <c r="D124" s="281"/>
      <c r="E124" s="281"/>
      <c r="F124" s="281"/>
      <c r="G124" s="296"/>
      <c r="H124" s="298"/>
      <c r="I124" s="299"/>
      <c r="J124" s="300"/>
      <c r="K124" s="301"/>
      <c r="L124" s="302"/>
      <c r="M124" s="303"/>
      <c r="N124" s="303"/>
      <c r="O124" s="303"/>
      <c r="P124" s="304"/>
      <c r="Q124" s="304"/>
      <c r="R124" s="305"/>
      <c r="S124" s="303"/>
      <c r="T124" s="304"/>
      <c r="U124" s="306"/>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c r="BM124" s="258"/>
      <c r="BN124" s="258"/>
      <c r="BO124" s="258"/>
      <c r="BP124" s="258"/>
      <c r="BQ124" s="258"/>
      <c r="BR124" s="258"/>
      <c r="BS124" s="258"/>
      <c r="BT124" s="258"/>
      <c r="BU124" s="258"/>
      <c r="BV124" s="258"/>
      <c r="BW124" s="258"/>
      <c r="BX124" s="258"/>
      <c r="BY124" s="258"/>
      <c r="BZ124" s="258"/>
      <c r="CA124" s="258"/>
      <c r="CB124" s="258"/>
      <c r="CC124" s="258"/>
      <c r="CD124" s="258"/>
      <c r="CE124" s="258"/>
      <c r="CF124" s="258"/>
      <c r="CG124" s="258"/>
      <c r="CH124" s="258"/>
      <c r="CI124" s="258"/>
      <c r="CJ124" s="258"/>
      <c r="CK124" s="258"/>
      <c r="CL124" s="258"/>
      <c r="CM124" s="258"/>
      <c r="CN124" s="258"/>
      <c r="CO124" s="258"/>
      <c r="CP124" s="258"/>
      <c r="CQ124" s="258"/>
      <c r="CR124" s="258"/>
      <c r="CS124" s="258"/>
      <c r="CT124" s="258"/>
      <c r="CU124" s="258"/>
      <c r="CV124" s="258"/>
      <c r="CW124" s="258"/>
      <c r="CX124" s="258"/>
      <c r="CY124" s="258"/>
      <c r="CZ124" s="258"/>
      <c r="DA124" s="258"/>
      <c r="DB124" s="258"/>
      <c r="DC124" s="258"/>
      <c r="DD124" s="258"/>
      <c r="DE124" s="258"/>
      <c r="DF124" s="258"/>
      <c r="DG124" s="258"/>
      <c r="DH124" s="258"/>
      <c r="DI124" s="258"/>
      <c r="DJ124" s="258"/>
      <c r="DK124" s="258"/>
      <c r="DL124" s="258"/>
      <c r="DM124" s="258"/>
      <c r="DN124" s="258"/>
      <c r="DO124" s="258"/>
      <c r="DP124" s="258"/>
      <c r="DQ124" s="258"/>
      <c r="DR124" s="258"/>
      <c r="DS124" s="258"/>
      <c r="DT124" s="258"/>
      <c r="DU124" s="258"/>
      <c r="DV124" s="258"/>
      <c r="DW124" s="258"/>
      <c r="DX124" s="258"/>
      <c r="DY124" s="258"/>
      <c r="DZ124" s="258"/>
      <c r="EA124" s="258"/>
      <c r="EB124" s="258"/>
      <c r="EC124" s="258"/>
      <c r="ED124" s="258"/>
      <c r="EE124" s="258"/>
      <c r="EF124" s="258"/>
      <c r="EG124" s="258"/>
      <c r="EH124" s="258"/>
      <c r="EI124" s="258"/>
      <c r="EJ124" s="258"/>
      <c r="EK124" s="258"/>
      <c r="EL124" s="258"/>
      <c r="EM124" s="258"/>
      <c r="EN124" s="258"/>
      <c r="EO124" s="258"/>
      <c r="EP124" s="258"/>
      <c r="EQ124" s="258"/>
      <c r="ER124" s="258"/>
      <c r="ES124" s="258"/>
      <c r="ET124" s="258"/>
      <c r="EU124" s="258"/>
      <c r="EV124" s="258"/>
      <c r="EW124" s="258"/>
      <c r="EX124" s="258"/>
      <c r="EY124" s="258"/>
      <c r="EZ124" s="258"/>
      <c r="FA124" s="258"/>
      <c r="FB124" s="258"/>
      <c r="FC124" s="258"/>
      <c r="FD124" s="258"/>
      <c r="FE124" s="258"/>
      <c r="FF124" s="258"/>
      <c r="FG124" s="258"/>
      <c r="FH124" s="258"/>
      <c r="FI124" s="258"/>
      <c r="FJ124" s="258"/>
      <c r="FK124" s="258"/>
      <c r="FL124" s="258"/>
      <c r="FM124" s="258"/>
      <c r="FN124" s="258"/>
      <c r="FO124" s="258"/>
      <c r="FP124" s="258"/>
      <c r="FQ124" s="258"/>
      <c r="FR124" s="258"/>
      <c r="FS124" s="258"/>
      <c r="FT124" s="258"/>
      <c r="FU124" s="258"/>
      <c r="FV124" s="258"/>
      <c r="FW124" s="258"/>
      <c r="FX124" s="258"/>
      <c r="FY124" s="258"/>
      <c r="FZ124" s="258"/>
      <c r="GA124" s="258"/>
      <c r="GB124" s="258"/>
      <c r="GC124" s="258"/>
      <c r="GD124" s="258"/>
      <c r="GE124" s="258"/>
      <c r="GF124" s="258"/>
      <c r="GG124" s="258"/>
      <c r="GH124" s="258"/>
      <c r="GI124" s="258"/>
      <c r="GJ124" s="258"/>
      <c r="GK124" s="258"/>
      <c r="GL124" s="258"/>
      <c r="GM124" s="258"/>
      <c r="GN124" s="258"/>
      <c r="GO124" s="258"/>
      <c r="GP124" s="258"/>
      <c r="GQ124" s="258"/>
      <c r="GR124" s="258"/>
      <c r="GS124" s="258"/>
      <c r="GT124" s="258"/>
      <c r="GU124" s="258"/>
      <c r="GV124" s="258"/>
      <c r="GW124" s="258"/>
      <c r="GX124" s="258"/>
      <c r="GY124" s="258"/>
      <c r="GZ124" s="258"/>
      <c r="HA124" s="258"/>
      <c r="HB124" s="258"/>
      <c r="HC124" s="258"/>
      <c r="HD124" s="258"/>
      <c r="HE124" s="258"/>
      <c r="HF124" s="258"/>
      <c r="HG124" s="258"/>
      <c r="HH124" s="258"/>
      <c r="HI124" s="258"/>
      <c r="HJ124" s="258"/>
      <c r="HK124" s="258"/>
      <c r="HL124" s="258"/>
      <c r="HM124" s="258"/>
      <c r="HN124" s="258"/>
      <c r="HO124" s="258"/>
      <c r="HP124" s="258"/>
      <c r="HQ124" s="258"/>
      <c r="HR124" s="258"/>
      <c r="HS124" s="258"/>
      <c r="HT124" s="258"/>
      <c r="HU124" s="258"/>
      <c r="HV124" s="258"/>
      <c r="HW124" s="258"/>
      <c r="HX124" s="258"/>
      <c r="HY124" s="258"/>
      <c r="HZ124" s="258"/>
      <c r="IA124" s="258"/>
      <c r="IB124" s="258"/>
      <c r="IC124" s="258"/>
      <c r="ID124" s="258"/>
      <c r="IE124" s="258"/>
      <c r="IF124" s="258"/>
      <c r="IG124" s="258"/>
      <c r="IH124" s="258"/>
      <c r="II124" s="258"/>
      <c r="IJ124" s="258"/>
      <c r="IK124" s="258"/>
      <c r="IL124" s="258"/>
      <c r="IM124" s="258"/>
      <c r="IN124" s="258"/>
      <c r="IO124" s="258"/>
      <c r="IP124" s="258"/>
      <c r="IQ124" s="258"/>
      <c r="IR124" s="258"/>
      <c r="IS124" s="258"/>
      <c r="IT124" s="258"/>
      <c r="IU124" s="258"/>
      <c r="IV124" s="258"/>
      <c r="IW124" s="258"/>
    </row>
    <row r="125" spans="2:257" s="262" customFormat="1" x14ac:dyDescent="0.25">
      <c r="B125" s="278"/>
      <c r="C125" s="307"/>
      <c r="D125" s="281"/>
      <c r="E125" s="281"/>
      <c r="F125" s="281"/>
      <c r="G125" s="296"/>
      <c r="H125" s="298"/>
      <c r="I125" s="299"/>
      <c r="J125" s="300"/>
      <c r="K125" s="301"/>
      <c r="L125" s="302"/>
      <c r="M125" s="303"/>
      <c r="N125" s="303"/>
      <c r="O125" s="303"/>
      <c r="P125" s="304"/>
      <c r="Q125" s="304"/>
      <c r="R125" s="305"/>
      <c r="S125" s="303"/>
      <c r="T125" s="304"/>
      <c r="U125" s="306"/>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8"/>
      <c r="BN125" s="258"/>
      <c r="BO125" s="258"/>
      <c r="BP125" s="258"/>
      <c r="BQ125" s="258"/>
      <c r="BR125" s="258"/>
      <c r="BS125" s="258"/>
      <c r="BT125" s="258"/>
      <c r="BU125" s="258"/>
      <c r="BV125" s="258"/>
      <c r="BW125" s="258"/>
      <c r="BX125" s="258"/>
      <c r="BY125" s="258"/>
      <c r="BZ125" s="258"/>
      <c r="CA125" s="258"/>
      <c r="CB125" s="258"/>
      <c r="CC125" s="258"/>
      <c r="CD125" s="258"/>
      <c r="CE125" s="258"/>
      <c r="CF125" s="258"/>
      <c r="CG125" s="258"/>
      <c r="CH125" s="258"/>
      <c r="CI125" s="258"/>
      <c r="CJ125" s="258"/>
      <c r="CK125" s="258"/>
      <c r="CL125" s="258"/>
      <c r="CM125" s="258"/>
      <c r="CN125" s="258"/>
      <c r="CO125" s="258"/>
      <c r="CP125" s="258"/>
      <c r="CQ125" s="258"/>
      <c r="CR125" s="258"/>
      <c r="CS125" s="258"/>
      <c r="CT125" s="258"/>
      <c r="CU125" s="258"/>
      <c r="CV125" s="258"/>
      <c r="CW125" s="258"/>
      <c r="CX125" s="258"/>
      <c r="CY125" s="258"/>
      <c r="CZ125" s="258"/>
      <c r="DA125" s="258"/>
      <c r="DB125" s="258"/>
      <c r="DC125" s="258"/>
      <c r="DD125" s="258"/>
      <c r="DE125" s="258"/>
      <c r="DF125" s="258"/>
      <c r="DG125" s="258"/>
      <c r="DH125" s="258"/>
      <c r="DI125" s="258"/>
      <c r="DJ125" s="258"/>
      <c r="DK125" s="258"/>
      <c r="DL125" s="258"/>
      <c r="DM125" s="258"/>
      <c r="DN125" s="258"/>
      <c r="DO125" s="258"/>
      <c r="DP125" s="258"/>
      <c r="DQ125" s="258"/>
      <c r="DR125" s="258"/>
      <c r="DS125" s="258"/>
      <c r="DT125" s="258"/>
      <c r="DU125" s="258"/>
      <c r="DV125" s="258"/>
      <c r="DW125" s="258"/>
      <c r="DX125" s="258"/>
      <c r="DY125" s="258"/>
      <c r="DZ125" s="258"/>
      <c r="EA125" s="258"/>
      <c r="EB125" s="258"/>
      <c r="EC125" s="258"/>
      <c r="ED125" s="258"/>
      <c r="EE125" s="258"/>
      <c r="EF125" s="258"/>
      <c r="EG125" s="258"/>
      <c r="EH125" s="258"/>
      <c r="EI125" s="258"/>
      <c r="EJ125" s="258"/>
      <c r="EK125" s="258"/>
      <c r="EL125" s="258"/>
      <c r="EM125" s="258"/>
      <c r="EN125" s="258"/>
      <c r="EO125" s="258"/>
      <c r="EP125" s="258"/>
      <c r="EQ125" s="258"/>
      <c r="ER125" s="258"/>
      <c r="ES125" s="258"/>
      <c r="ET125" s="258"/>
      <c r="EU125" s="258"/>
      <c r="EV125" s="258"/>
      <c r="EW125" s="258"/>
      <c r="EX125" s="258"/>
      <c r="EY125" s="258"/>
      <c r="EZ125" s="258"/>
      <c r="FA125" s="258"/>
      <c r="FB125" s="258"/>
      <c r="FC125" s="258"/>
      <c r="FD125" s="258"/>
      <c r="FE125" s="258"/>
      <c r="FF125" s="258"/>
      <c r="FG125" s="258"/>
      <c r="FH125" s="258"/>
      <c r="FI125" s="258"/>
      <c r="FJ125" s="258"/>
      <c r="FK125" s="258"/>
      <c r="FL125" s="258"/>
      <c r="FM125" s="258"/>
      <c r="FN125" s="258"/>
      <c r="FO125" s="258"/>
      <c r="FP125" s="258"/>
      <c r="FQ125" s="258"/>
      <c r="FR125" s="258"/>
      <c r="FS125" s="258"/>
      <c r="FT125" s="258"/>
      <c r="FU125" s="258"/>
      <c r="FV125" s="258"/>
      <c r="FW125" s="258"/>
      <c r="FX125" s="258"/>
      <c r="FY125" s="258"/>
      <c r="FZ125" s="258"/>
      <c r="GA125" s="258"/>
      <c r="GB125" s="258"/>
      <c r="GC125" s="258"/>
      <c r="GD125" s="258"/>
      <c r="GE125" s="258"/>
      <c r="GF125" s="258"/>
      <c r="GG125" s="258"/>
      <c r="GH125" s="258"/>
      <c r="GI125" s="258"/>
      <c r="GJ125" s="258"/>
      <c r="GK125" s="258"/>
      <c r="GL125" s="258"/>
      <c r="GM125" s="258"/>
      <c r="GN125" s="258"/>
      <c r="GO125" s="258"/>
      <c r="GP125" s="258"/>
      <c r="GQ125" s="258"/>
      <c r="GR125" s="258"/>
      <c r="GS125" s="258"/>
      <c r="GT125" s="258"/>
      <c r="GU125" s="258"/>
      <c r="GV125" s="258"/>
      <c r="GW125" s="258"/>
      <c r="GX125" s="258"/>
      <c r="GY125" s="258"/>
      <c r="GZ125" s="258"/>
      <c r="HA125" s="258"/>
      <c r="HB125" s="258"/>
      <c r="HC125" s="258"/>
      <c r="HD125" s="258"/>
      <c r="HE125" s="258"/>
      <c r="HF125" s="258"/>
      <c r="HG125" s="258"/>
      <c r="HH125" s="258"/>
      <c r="HI125" s="258"/>
      <c r="HJ125" s="258"/>
      <c r="HK125" s="258"/>
      <c r="HL125" s="258"/>
      <c r="HM125" s="258"/>
      <c r="HN125" s="258"/>
      <c r="HO125" s="258"/>
      <c r="HP125" s="258"/>
      <c r="HQ125" s="258"/>
      <c r="HR125" s="258"/>
      <c r="HS125" s="258"/>
      <c r="HT125" s="258"/>
      <c r="HU125" s="258"/>
      <c r="HV125" s="258"/>
      <c r="HW125" s="258"/>
      <c r="HX125" s="258"/>
      <c r="HY125" s="258"/>
      <c r="HZ125" s="258"/>
      <c r="IA125" s="258"/>
      <c r="IB125" s="258"/>
      <c r="IC125" s="258"/>
      <c r="ID125" s="258"/>
      <c r="IE125" s="258"/>
      <c r="IF125" s="258"/>
      <c r="IG125" s="258"/>
      <c r="IH125" s="258"/>
      <c r="II125" s="258"/>
      <c r="IJ125" s="258"/>
      <c r="IK125" s="258"/>
      <c r="IL125" s="258"/>
      <c r="IM125" s="258"/>
      <c r="IN125" s="258"/>
      <c r="IO125" s="258"/>
      <c r="IP125" s="258"/>
      <c r="IQ125" s="258"/>
      <c r="IR125" s="258"/>
      <c r="IS125" s="258"/>
      <c r="IT125" s="258"/>
      <c r="IU125" s="258"/>
      <c r="IV125" s="258"/>
      <c r="IW125" s="258"/>
    </row>
    <row r="126" spans="2:257" s="262" customFormat="1" x14ac:dyDescent="0.25">
      <c r="B126" s="278"/>
      <c r="C126" s="278"/>
      <c r="D126" s="281"/>
      <c r="E126" s="281"/>
      <c r="F126" s="281"/>
      <c r="G126" s="296"/>
      <c r="H126" s="298"/>
      <c r="I126" s="299"/>
      <c r="J126" s="300"/>
      <c r="K126" s="301"/>
      <c r="L126" s="302"/>
      <c r="M126" s="303"/>
      <c r="N126" s="303"/>
      <c r="O126" s="303"/>
      <c r="P126" s="304"/>
      <c r="Q126" s="304"/>
      <c r="R126" s="305"/>
      <c r="S126" s="303"/>
      <c r="T126" s="304"/>
      <c r="U126" s="306"/>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c r="BM126" s="258"/>
      <c r="BN126" s="258"/>
      <c r="BO126" s="258"/>
      <c r="BP126" s="258"/>
      <c r="BQ126" s="258"/>
      <c r="BR126" s="258"/>
      <c r="BS126" s="258"/>
      <c r="BT126" s="258"/>
      <c r="BU126" s="258"/>
      <c r="BV126" s="258"/>
      <c r="BW126" s="258"/>
      <c r="BX126" s="258"/>
      <c r="BY126" s="258"/>
      <c r="BZ126" s="258"/>
      <c r="CA126" s="258"/>
      <c r="CB126" s="258"/>
      <c r="CC126" s="258"/>
      <c r="CD126" s="258"/>
      <c r="CE126" s="258"/>
      <c r="CF126" s="258"/>
      <c r="CG126" s="258"/>
      <c r="CH126" s="258"/>
      <c r="CI126" s="258"/>
      <c r="CJ126" s="258"/>
      <c r="CK126" s="258"/>
      <c r="CL126" s="258"/>
      <c r="CM126" s="258"/>
      <c r="CN126" s="258"/>
      <c r="CO126" s="258"/>
      <c r="CP126" s="258"/>
      <c r="CQ126" s="258"/>
      <c r="CR126" s="258"/>
      <c r="CS126" s="258"/>
      <c r="CT126" s="258"/>
      <c r="CU126" s="258"/>
      <c r="CV126" s="258"/>
      <c r="CW126" s="258"/>
      <c r="CX126" s="258"/>
      <c r="CY126" s="258"/>
      <c r="CZ126" s="258"/>
      <c r="DA126" s="258"/>
      <c r="DB126" s="258"/>
      <c r="DC126" s="258"/>
      <c r="DD126" s="258"/>
      <c r="DE126" s="258"/>
      <c r="DF126" s="258"/>
      <c r="DG126" s="258"/>
      <c r="DH126" s="258"/>
      <c r="DI126" s="258"/>
      <c r="DJ126" s="258"/>
      <c r="DK126" s="258"/>
      <c r="DL126" s="258"/>
      <c r="DM126" s="258"/>
      <c r="DN126" s="258"/>
      <c r="DO126" s="258"/>
      <c r="DP126" s="258"/>
      <c r="DQ126" s="258"/>
      <c r="DR126" s="258"/>
      <c r="DS126" s="258"/>
      <c r="DT126" s="258"/>
      <c r="DU126" s="258"/>
      <c r="DV126" s="258"/>
      <c r="DW126" s="258"/>
      <c r="DX126" s="258"/>
      <c r="DY126" s="258"/>
      <c r="DZ126" s="258"/>
      <c r="EA126" s="258"/>
      <c r="EB126" s="258"/>
      <c r="EC126" s="258"/>
      <c r="ED126" s="258"/>
      <c r="EE126" s="258"/>
      <c r="EF126" s="258"/>
      <c r="EG126" s="258"/>
      <c r="EH126" s="258"/>
      <c r="EI126" s="258"/>
      <c r="EJ126" s="258"/>
      <c r="EK126" s="258"/>
      <c r="EL126" s="258"/>
      <c r="EM126" s="258"/>
      <c r="EN126" s="258"/>
      <c r="EO126" s="258"/>
      <c r="EP126" s="258"/>
      <c r="EQ126" s="258"/>
      <c r="ER126" s="258"/>
      <c r="ES126" s="258"/>
      <c r="ET126" s="258"/>
      <c r="EU126" s="258"/>
      <c r="EV126" s="258"/>
      <c r="EW126" s="258"/>
      <c r="EX126" s="258"/>
      <c r="EY126" s="258"/>
      <c r="EZ126" s="258"/>
      <c r="FA126" s="258"/>
      <c r="FB126" s="258"/>
      <c r="FC126" s="258"/>
      <c r="FD126" s="258"/>
      <c r="FE126" s="258"/>
      <c r="FF126" s="258"/>
      <c r="FG126" s="258"/>
      <c r="FH126" s="258"/>
      <c r="FI126" s="258"/>
      <c r="FJ126" s="258"/>
      <c r="FK126" s="258"/>
      <c r="FL126" s="258"/>
      <c r="FM126" s="258"/>
      <c r="FN126" s="258"/>
      <c r="FO126" s="258"/>
      <c r="FP126" s="258"/>
      <c r="FQ126" s="258"/>
      <c r="FR126" s="258"/>
      <c r="FS126" s="258"/>
      <c r="FT126" s="258"/>
      <c r="FU126" s="258"/>
      <c r="FV126" s="258"/>
      <c r="FW126" s="258"/>
      <c r="FX126" s="258"/>
      <c r="FY126" s="258"/>
      <c r="FZ126" s="258"/>
      <c r="GA126" s="258"/>
      <c r="GB126" s="258"/>
      <c r="GC126" s="258"/>
      <c r="GD126" s="258"/>
      <c r="GE126" s="258"/>
      <c r="GF126" s="258"/>
      <c r="GG126" s="258"/>
      <c r="GH126" s="258"/>
      <c r="GI126" s="258"/>
      <c r="GJ126" s="258"/>
      <c r="GK126" s="258"/>
      <c r="GL126" s="258"/>
      <c r="GM126" s="258"/>
      <c r="GN126" s="258"/>
      <c r="GO126" s="258"/>
      <c r="GP126" s="258"/>
      <c r="GQ126" s="258"/>
      <c r="GR126" s="258"/>
      <c r="GS126" s="258"/>
      <c r="GT126" s="258"/>
      <c r="GU126" s="258"/>
      <c r="GV126" s="258"/>
      <c r="GW126" s="258"/>
      <c r="GX126" s="258"/>
      <c r="GY126" s="258"/>
      <c r="GZ126" s="258"/>
      <c r="HA126" s="258"/>
      <c r="HB126" s="258"/>
      <c r="HC126" s="258"/>
      <c r="HD126" s="258"/>
      <c r="HE126" s="258"/>
      <c r="HF126" s="258"/>
      <c r="HG126" s="258"/>
      <c r="HH126" s="258"/>
      <c r="HI126" s="258"/>
      <c r="HJ126" s="258"/>
      <c r="HK126" s="258"/>
      <c r="HL126" s="258"/>
      <c r="HM126" s="258"/>
      <c r="HN126" s="258"/>
      <c r="HO126" s="258"/>
      <c r="HP126" s="258"/>
      <c r="HQ126" s="258"/>
      <c r="HR126" s="258"/>
      <c r="HS126" s="258"/>
      <c r="HT126" s="258"/>
      <c r="HU126" s="258"/>
      <c r="HV126" s="258"/>
      <c r="HW126" s="258"/>
      <c r="HX126" s="258"/>
      <c r="HY126" s="258"/>
      <c r="HZ126" s="258"/>
      <c r="IA126" s="258"/>
      <c r="IB126" s="258"/>
      <c r="IC126" s="258"/>
      <c r="ID126" s="258"/>
      <c r="IE126" s="258"/>
      <c r="IF126" s="258"/>
      <c r="IG126" s="258"/>
      <c r="IH126" s="258"/>
      <c r="II126" s="258"/>
      <c r="IJ126" s="258"/>
      <c r="IK126" s="258"/>
      <c r="IL126" s="258"/>
      <c r="IM126" s="258"/>
      <c r="IN126" s="258"/>
      <c r="IO126" s="258"/>
      <c r="IP126" s="258"/>
      <c r="IQ126" s="258"/>
      <c r="IR126" s="258"/>
      <c r="IS126" s="258"/>
      <c r="IT126" s="258"/>
      <c r="IU126" s="258"/>
      <c r="IV126" s="258"/>
      <c r="IW126" s="258"/>
    </row>
    <row r="127" spans="2:257" s="262" customFormat="1" x14ac:dyDescent="0.25">
      <c r="B127" s="278"/>
      <c r="C127" s="278"/>
      <c r="D127" s="281"/>
      <c r="E127" s="289"/>
      <c r="F127" s="281"/>
      <c r="G127" s="296"/>
      <c r="H127" s="298"/>
      <c r="I127" s="299"/>
      <c r="J127" s="300"/>
      <c r="K127" s="301"/>
      <c r="L127" s="302"/>
      <c r="M127" s="303"/>
      <c r="N127" s="303"/>
      <c r="O127" s="303"/>
      <c r="P127" s="304"/>
      <c r="Q127" s="304"/>
      <c r="R127" s="305"/>
      <c r="S127" s="303"/>
      <c r="T127" s="304"/>
      <c r="U127" s="306"/>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c r="BM127" s="258"/>
      <c r="BN127" s="258"/>
      <c r="BO127" s="258"/>
      <c r="BP127" s="258"/>
      <c r="BQ127" s="258"/>
      <c r="BR127" s="258"/>
      <c r="BS127" s="258"/>
      <c r="BT127" s="258"/>
      <c r="BU127" s="258"/>
      <c r="BV127" s="258"/>
      <c r="BW127" s="258"/>
      <c r="BX127" s="258"/>
      <c r="BY127" s="258"/>
      <c r="BZ127" s="258"/>
      <c r="CA127" s="258"/>
      <c r="CB127" s="258"/>
      <c r="CC127" s="258"/>
      <c r="CD127" s="258"/>
      <c r="CE127" s="258"/>
      <c r="CF127" s="258"/>
      <c r="CG127" s="258"/>
      <c r="CH127" s="258"/>
      <c r="CI127" s="258"/>
      <c r="CJ127" s="258"/>
      <c r="CK127" s="258"/>
      <c r="CL127" s="258"/>
      <c r="CM127" s="258"/>
      <c r="CN127" s="258"/>
      <c r="CO127" s="258"/>
      <c r="CP127" s="258"/>
      <c r="CQ127" s="258"/>
      <c r="CR127" s="258"/>
      <c r="CS127" s="258"/>
      <c r="CT127" s="258"/>
      <c r="CU127" s="258"/>
      <c r="CV127" s="258"/>
      <c r="CW127" s="258"/>
      <c r="CX127" s="258"/>
      <c r="CY127" s="258"/>
      <c r="CZ127" s="258"/>
      <c r="DA127" s="258"/>
      <c r="DB127" s="258"/>
      <c r="DC127" s="258"/>
      <c r="DD127" s="258"/>
      <c r="DE127" s="258"/>
      <c r="DF127" s="258"/>
      <c r="DG127" s="258"/>
      <c r="DH127" s="258"/>
      <c r="DI127" s="258"/>
      <c r="DJ127" s="258"/>
      <c r="DK127" s="258"/>
      <c r="DL127" s="258"/>
      <c r="DM127" s="258"/>
      <c r="DN127" s="258"/>
      <c r="DO127" s="258"/>
      <c r="DP127" s="258"/>
      <c r="DQ127" s="258"/>
      <c r="DR127" s="258"/>
      <c r="DS127" s="258"/>
      <c r="DT127" s="258"/>
      <c r="DU127" s="258"/>
      <c r="DV127" s="258"/>
      <c r="DW127" s="258"/>
      <c r="DX127" s="258"/>
      <c r="DY127" s="258"/>
      <c r="DZ127" s="258"/>
      <c r="EA127" s="258"/>
      <c r="EB127" s="258"/>
      <c r="EC127" s="258"/>
      <c r="ED127" s="258"/>
      <c r="EE127" s="258"/>
      <c r="EF127" s="258"/>
      <c r="EG127" s="258"/>
      <c r="EH127" s="258"/>
      <c r="EI127" s="258"/>
      <c r="EJ127" s="258"/>
      <c r="EK127" s="258"/>
      <c r="EL127" s="258"/>
      <c r="EM127" s="258"/>
      <c r="EN127" s="258"/>
      <c r="EO127" s="258"/>
      <c r="EP127" s="258"/>
      <c r="EQ127" s="258"/>
      <c r="ER127" s="258"/>
      <c r="ES127" s="258"/>
      <c r="ET127" s="258"/>
      <c r="EU127" s="258"/>
      <c r="EV127" s="258"/>
      <c r="EW127" s="258"/>
      <c r="EX127" s="258"/>
      <c r="EY127" s="258"/>
      <c r="EZ127" s="258"/>
      <c r="FA127" s="258"/>
      <c r="FB127" s="258"/>
      <c r="FC127" s="258"/>
      <c r="FD127" s="258"/>
      <c r="FE127" s="258"/>
      <c r="FF127" s="258"/>
      <c r="FG127" s="258"/>
      <c r="FH127" s="258"/>
      <c r="FI127" s="258"/>
      <c r="FJ127" s="258"/>
      <c r="FK127" s="258"/>
      <c r="FL127" s="258"/>
      <c r="FM127" s="258"/>
      <c r="FN127" s="258"/>
      <c r="FO127" s="258"/>
      <c r="FP127" s="258"/>
      <c r="FQ127" s="258"/>
      <c r="FR127" s="258"/>
      <c r="FS127" s="258"/>
      <c r="FT127" s="258"/>
      <c r="FU127" s="258"/>
      <c r="FV127" s="258"/>
      <c r="FW127" s="258"/>
      <c r="FX127" s="258"/>
      <c r="FY127" s="258"/>
      <c r="FZ127" s="258"/>
      <c r="GA127" s="258"/>
      <c r="GB127" s="258"/>
      <c r="GC127" s="258"/>
      <c r="GD127" s="258"/>
      <c r="GE127" s="258"/>
      <c r="GF127" s="258"/>
      <c r="GG127" s="258"/>
      <c r="GH127" s="258"/>
      <c r="GI127" s="258"/>
      <c r="GJ127" s="258"/>
      <c r="GK127" s="258"/>
      <c r="GL127" s="258"/>
      <c r="GM127" s="258"/>
      <c r="GN127" s="258"/>
      <c r="GO127" s="258"/>
      <c r="GP127" s="258"/>
      <c r="GQ127" s="258"/>
      <c r="GR127" s="258"/>
      <c r="GS127" s="258"/>
      <c r="GT127" s="258"/>
      <c r="GU127" s="258"/>
      <c r="GV127" s="258"/>
      <c r="GW127" s="258"/>
      <c r="GX127" s="258"/>
      <c r="GY127" s="258"/>
      <c r="GZ127" s="258"/>
      <c r="HA127" s="258"/>
      <c r="HB127" s="258"/>
      <c r="HC127" s="258"/>
      <c r="HD127" s="258"/>
      <c r="HE127" s="258"/>
      <c r="HF127" s="258"/>
      <c r="HG127" s="258"/>
      <c r="HH127" s="258"/>
      <c r="HI127" s="258"/>
      <c r="HJ127" s="258"/>
      <c r="HK127" s="258"/>
      <c r="HL127" s="258"/>
      <c r="HM127" s="258"/>
      <c r="HN127" s="258"/>
      <c r="HO127" s="258"/>
      <c r="HP127" s="258"/>
      <c r="HQ127" s="258"/>
      <c r="HR127" s="258"/>
      <c r="HS127" s="258"/>
      <c r="HT127" s="258"/>
      <c r="HU127" s="258"/>
      <c r="HV127" s="258"/>
      <c r="HW127" s="258"/>
      <c r="HX127" s="258"/>
      <c r="HY127" s="258"/>
      <c r="HZ127" s="258"/>
      <c r="IA127" s="258"/>
      <c r="IB127" s="258"/>
      <c r="IC127" s="258"/>
      <c r="ID127" s="258"/>
      <c r="IE127" s="258"/>
      <c r="IF127" s="258"/>
      <c r="IG127" s="258"/>
      <c r="IH127" s="258"/>
      <c r="II127" s="258"/>
      <c r="IJ127" s="258"/>
      <c r="IK127" s="258"/>
      <c r="IL127" s="258"/>
      <c r="IM127" s="258"/>
      <c r="IN127" s="258"/>
      <c r="IO127" s="258"/>
      <c r="IP127" s="258"/>
      <c r="IQ127" s="258"/>
      <c r="IR127" s="258"/>
      <c r="IS127" s="258"/>
      <c r="IT127" s="258"/>
      <c r="IU127" s="258"/>
      <c r="IV127" s="258"/>
      <c r="IW127" s="258"/>
    </row>
    <row r="128" spans="2:257" s="262" customFormat="1" x14ac:dyDescent="0.25">
      <c r="B128" s="278"/>
      <c r="C128" s="278"/>
      <c r="D128" s="281"/>
      <c r="E128" s="281"/>
      <c r="F128" s="281"/>
      <c r="G128" s="296"/>
      <c r="H128" s="298"/>
      <c r="I128" s="299"/>
      <c r="J128" s="300"/>
      <c r="K128" s="301"/>
      <c r="L128" s="302"/>
      <c r="M128" s="303"/>
      <c r="N128" s="303"/>
      <c r="O128" s="303"/>
      <c r="P128" s="304"/>
      <c r="Q128" s="304"/>
      <c r="R128" s="305"/>
      <c r="S128" s="303"/>
      <c r="T128" s="304"/>
      <c r="U128" s="306"/>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c r="BM128" s="258"/>
      <c r="BN128" s="258"/>
      <c r="BO128" s="258"/>
      <c r="BP128" s="258"/>
      <c r="BQ128" s="258"/>
      <c r="BR128" s="258"/>
      <c r="BS128" s="258"/>
      <c r="BT128" s="258"/>
      <c r="BU128" s="258"/>
      <c r="BV128" s="258"/>
      <c r="BW128" s="258"/>
      <c r="BX128" s="258"/>
      <c r="BY128" s="258"/>
      <c r="BZ128" s="258"/>
      <c r="CA128" s="258"/>
      <c r="CB128" s="258"/>
      <c r="CC128" s="258"/>
      <c r="CD128" s="258"/>
      <c r="CE128" s="258"/>
      <c r="CF128" s="258"/>
      <c r="CG128" s="258"/>
      <c r="CH128" s="258"/>
      <c r="CI128" s="258"/>
      <c r="CJ128" s="258"/>
      <c r="CK128" s="258"/>
      <c r="CL128" s="258"/>
      <c r="CM128" s="258"/>
      <c r="CN128" s="258"/>
      <c r="CO128" s="258"/>
      <c r="CP128" s="258"/>
      <c r="CQ128" s="258"/>
      <c r="CR128" s="258"/>
      <c r="CS128" s="258"/>
      <c r="CT128" s="258"/>
      <c r="CU128" s="258"/>
      <c r="CV128" s="258"/>
      <c r="CW128" s="258"/>
      <c r="CX128" s="258"/>
      <c r="CY128" s="258"/>
      <c r="CZ128" s="258"/>
      <c r="DA128" s="258"/>
      <c r="DB128" s="258"/>
      <c r="DC128" s="258"/>
      <c r="DD128" s="258"/>
      <c r="DE128" s="258"/>
      <c r="DF128" s="258"/>
      <c r="DG128" s="258"/>
      <c r="DH128" s="258"/>
      <c r="DI128" s="258"/>
      <c r="DJ128" s="258"/>
      <c r="DK128" s="258"/>
      <c r="DL128" s="258"/>
      <c r="DM128" s="258"/>
      <c r="DN128" s="258"/>
      <c r="DO128" s="258"/>
      <c r="DP128" s="258"/>
      <c r="DQ128" s="258"/>
      <c r="DR128" s="258"/>
      <c r="DS128" s="258"/>
      <c r="DT128" s="258"/>
      <c r="DU128" s="258"/>
      <c r="DV128" s="258"/>
      <c r="DW128" s="258"/>
      <c r="DX128" s="258"/>
      <c r="DY128" s="258"/>
      <c r="DZ128" s="258"/>
      <c r="EA128" s="258"/>
      <c r="EB128" s="258"/>
      <c r="EC128" s="258"/>
      <c r="ED128" s="258"/>
      <c r="EE128" s="258"/>
      <c r="EF128" s="258"/>
      <c r="EG128" s="258"/>
      <c r="EH128" s="258"/>
      <c r="EI128" s="258"/>
      <c r="EJ128" s="258"/>
      <c r="EK128" s="258"/>
      <c r="EL128" s="258"/>
      <c r="EM128" s="258"/>
      <c r="EN128" s="258"/>
      <c r="EO128" s="258"/>
      <c r="EP128" s="258"/>
      <c r="EQ128" s="258"/>
      <c r="ER128" s="258"/>
      <c r="ES128" s="258"/>
      <c r="ET128" s="258"/>
      <c r="EU128" s="258"/>
      <c r="EV128" s="258"/>
      <c r="EW128" s="258"/>
      <c r="EX128" s="258"/>
      <c r="EY128" s="258"/>
      <c r="EZ128" s="258"/>
      <c r="FA128" s="258"/>
      <c r="FB128" s="258"/>
      <c r="FC128" s="258"/>
      <c r="FD128" s="258"/>
      <c r="FE128" s="258"/>
      <c r="FF128" s="258"/>
      <c r="FG128" s="258"/>
      <c r="FH128" s="258"/>
      <c r="FI128" s="258"/>
      <c r="FJ128" s="258"/>
      <c r="FK128" s="258"/>
      <c r="FL128" s="258"/>
      <c r="FM128" s="258"/>
      <c r="FN128" s="258"/>
      <c r="FO128" s="258"/>
      <c r="FP128" s="258"/>
      <c r="FQ128" s="258"/>
      <c r="FR128" s="258"/>
      <c r="FS128" s="258"/>
      <c r="FT128" s="258"/>
      <c r="FU128" s="258"/>
      <c r="FV128" s="258"/>
      <c r="FW128" s="258"/>
      <c r="FX128" s="258"/>
      <c r="FY128" s="258"/>
      <c r="FZ128" s="258"/>
      <c r="GA128" s="258"/>
      <c r="GB128" s="258"/>
      <c r="GC128" s="258"/>
      <c r="GD128" s="258"/>
      <c r="GE128" s="258"/>
      <c r="GF128" s="258"/>
      <c r="GG128" s="258"/>
      <c r="GH128" s="258"/>
      <c r="GI128" s="258"/>
      <c r="GJ128" s="258"/>
      <c r="GK128" s="258"/>
      <c r="GL128" s="258"/>
      <c r="GM128" s="258"/>
      <c r="GN128" s="258"/>
      <c r="GO128" s="258"/>
      <c r="GP128" s="258"/>
      <c r="GQ128" s="258"/>
      <c r="GR128" s="258"/>
      <c r="GS128" s="258"/>
      <c r="GT128" s="258"/>
      <c r="GU128" s="258"/>
      <c r="GV128" s="258"/>
      <c r="GW128" s="258"/>
      <c r="GX128" s="258"/>
      <c r="GY128" s="258"/>
      <c r="GZ128" s="258"/>
      <c r="HA128" s="258"/>
      <c r="HB128" s="258"/>
      <c r="HC128" s="258"/>
      <c r="HD128" s="258"/>
      <c r="HE128" s="258"/>
      <c r="HF128" s="258"/>
      <c r="HG128" s="258"/>
      <c r="HH128" s="258"/>
      <c r="HI128" s="258"/>
      <c r="HJ128" s="258"/>
      <c r="HK128" s="258"/>
      <c r="HL128" s="258"/>
      <c r="HM128" s="258"/>
      <c r="HN128" s="258"/>
      <c r="HO128" s="258"/>
      <c r="HP128" s="258"/>
      <c r="HQ128" s="258"/>
      <c r="HR128" s="258"/>
      <c r="HS128" s="258"/>
      <c r="HT128" s="258"/>
      <c r="HU128" s="258"/>
      <c r="HV128" s="258"/>
      <c r="HW128" s="258"/>
      <c r="HX128" s="258"/>
      <c r="HY128" s="258"/>
      <c r="HZ128" s="258"/>
      <c r="IA128" s="258"/>
      <c r="IB128" s="258"/>
      <c r="IC128" s="258"/>
      <c r="ID128" s="258"/>
      <c r="IE128" s="258"/>
      <c r="IF128" s="258"/>
      <c r="IG128" s="258"/>
      <c r="IH128" s="258"/>
      <c r="II128" s="258"/>
      <c r="IJ128" s="258"/>
      <c r="IK128" s="258"/>
      <c r="IL128" s="258"/>
      <c r="IM128" s="258"/>
      <c r="IN128" s="258"/>
      <c r="IO128" s="258"/>
      <c r="IP128" s="258"/>
      <c r="IQ128" s="258"/>
      <c r="IR128" s="258"/>
      <c r="IS128" s="258"/>
      <c r="IT128" s="258"/>
      <c r="IU128" s="258"/>
      <c r="IV128" s="258"/>
      <c r="IW128" s="258"/>
    </row>
    <row r="129" spans="2:257" s="262" customFormat="1" x14ac:dyDescent="0.25">
      <c r="B129" s="278"/>
      <c r="C129" s="278"/>
      <c r="D129" s="281"/>
      <c r="E129" s="281"/>
      <c r="F129" s="281"/>
      <c r="G129" s="296"/>
      <c r="H129" s="298"/>
      <c r="I129" s="299"/>
      <c r="J129" s="300"/>
      <c r="K129" s="301"/>
      <c r="L129" s="302"/>
      <c r="M129" s="303"/>
      <c r="N129" s="303"/>
      <c r="O129" s="303"/>
      <c r="P129" s="304"/>
      <c r="Q129" s="304"/>
      <c r="R129" s="305"/>
      <c r="S129" s="303"/>
      <c r="T129" s="304"/>
      <c r="U129" s="306"/>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c r="BM129" s="258"/>
      <c r="BN129" s="258"/>
      <c r="BO129" s="258"/>
      <c r="BP129" s="258"/>
      <c r="BQ129" s="258"/>
      <c r="BR129" s="258"/>
      <c r="BS129" s="258"/>
      <c r="BT129" s="258"/>
      <c r="BU129" s="258"/>
      <c r="BV129" s="258"/>
      <c r="BW129" s="258"/>
      <c r="BX129" s="258"/>
      <c r="BY129" s="258"/>
      <c r="BZ129" s="258"/>
      <c r="CA129" s="258"/>
      <c r="CB129" s="258"/>
      <c r="CC129" s="258"/>
      <c r="CD129" s="258"/>
      <c r="CE129" s="258"/>
      <c r="CF129" s="258"/>
      <c r="CG129" s="258"/>
      <c r="CH129" s="258"/>
      <c r="CI129" s="258"/>
      <c r="CJ129" s="258"/>
      <c r="CK129" s="258"/>
      <c r="CL129" s="258"/>
      <c r="CM129" s="258"/>
      <c r="CN129" s="258"/>
      <c r="CO129" s="258"/>
      <c r="CP129" s="258"/>
      <c r="CQ129" s="258"/>
      <c r="CR129" s="258"/>
      <c r="CS129" s="258"/>
      <c r="CT129" s="258"/>
      <c r="CU129" s="258"/>
      <c r="CV129" s="258"/>
      <c r="CW129" s="258"/>
      <c r="CX129" s="258"/>
      <c r="CY129" s="258"/>
      <c r="CZ129" s="258"/>
      <c r="DA129" s="258"/>
      <c r="DB129" s="258"/>
      <c r="DC129" s="258"/>
      <c r="DD129" s="258"/>
      <c r="DE129" s="258"/>
      <c r="DF129" s="258"/>
      <c r="DG129" s="258"/>
      <c r="DH129" s="258"/>
      <c r="DI129" s="258"/>
      <c r="DJ129" s="258"/>
      <c r="DK129" s="258"/>
      <c r="DL129" s="258"/>
      <c r="DM129" s="258"/>
      <c r="DN129" s="258"/>
      <c r="DO129" s="258"/>
      <c r="DP129" s="258"/>
      <c r="DQ129" s="258"/>
      <c r="DR129" s="258"/>
      <c r="DS129" s="258"/>
      <c r="DT129" s="258"/>
      <c r="DU129" s="258"/>
      <c r="DV129" s="258"/>
      <c r="DW129" s="258"/>
      <c r="DX129" s="258"/>
      <c r="DY129" s="258"/>
      <c r="DZ129" s="258"/>
      <c r="EA129" s="258"/>
      <c r="EB129" s="258"/>
      <c r="EC129" s="258"/>
      <c r="ED129" s="258"/>
      <c r="EE129" s="258"/>
      <c r="EF129" s="258"/>
      <c r="EG129" s="258"/>
      <c r="EH129" s="258"/>
      <c r="EI129" s="258"/>
      <c r="EJ129" s="258"/>
      <c r="EK129" s="258"/>
      <c r="EL129" s="258"/>
      <c r="EM129" s="258"/>
      <c r="EN129" s="258"/>
      <c r="EO129" s="258"/>
      <c r="EP129" s="258"/>
      <c r="EQ129" s="258"/>
      <c r="ER129" s="258"/>
      <c r="ES129" s="258"/>
      <c r="ET129" s="258"/>
      <c r="EU129" s="258"/>
      <c r="EV129" s="258"/>
      <c r="EW129" s="258"/>
      <c r="EX129" s="258"/>
      <c r="EY129" s="258"/>
      <c r="EZ129" s="258"/>
      <c r="FA129" s="258"/>
      <c r="FB129" s="258"/>
      <c r="FC129" s="258"/>
      <c r="FD129" s="258"/>
      <c r="FE129" s="258"/>
      <c r="FF129" s="258"/>
      <c r="FG129" s="258"/>
      <c r="FH129" s="258"/>
      <c r="FI129" s="258"/>
      <c r="FJ129" s="258"/>
      <c r="FK129" s="258"/>
      <c r="FL129" s="258"/>
      <c r="FM129" s="258"/>
      <c r="FN129" s="258"/>
      <c r="FO129" s="258"/>
      <c r="FP129" s="258"/>
      <c r="FQ129" s="258"/>
      <c r="FR129" s="258"/>
      <c r="FS129" s="258"/>
      <c r="FT129" s="258"/>
      <c r="FU129" s="258"/>
      <c r="FV129" s="258"/>
      <c r="FW129" s="258"/>
      <c r="FX129" s="258"/>
      <c r="FY129" s="258"/>
      <c r="FZ129" s="258"/>
      <c r="GA129" s="258"/>
      <c r="GB129" s="258"/>
      <c r="GC129" s="258"/>
      <c r="GD129" s="258"/>
      <c r="GE129" s="258"/>
      <c r="GF129" s="258"/>
      <c r="GG129" s="258"/>
      <c r="GH129" s="258"/>
      <c r="GI129" s="258"/>
      <c r="GJ129" s="258"/>
      <c r="GK129" s="258"/>
      <c r="GL129" s="258"/>
      <c r="GM129" s="258"/>
      <c r="GN129" s="258"/>
      <c r="GO129" s="258"/>
      <c r="GP129" s="258"/>
      <c r="GQ129" s="258"/>
      <c r="GR129" s="258"/>
      <c r="GS129" s="258"/>
      <c r="GT129" s="258"/>
      <c r="GU129" s="258"/>
      <c r="GV129" s="258"/>
      <c r="GW129" s="258"/>
      <c r="GX129" s="258"/>
      <c r="GY129" s="258"/>
      <c r="GZ129" s="258"/>
      <c r="HA129" s="258"/>
      <c r="HB129" s="258"/>
      <c r="HC129" s="258"/>
      <c r="HD129" s="258"/>
      <c r="HE129" s="258"/>
      <c r="HF129" s="258"/>
      <c r="HG129" s="258"/>
      <c r="HH129" s="258"/>
      <c r="HI129" s="258"/>
      <c r="HJ129" s="258"/>
      <c r="HK129" s="258"/>
      <c r="HL129" s="258"/>
      <c r="HM129" s="258"/>
      <c r="HN129" s="258"/>
      <c r="HO129" s="258"/>
      <c r="HP129" s="258"/>
      <c r="HQ129" s="258"/>
      <c r="HR129" s="258"/>
      <c r="HS129" s="258"/>
      <c r="HT129" s="258"/>
      <c r="HU129" s="258"/>
      <c r="HV129" s="258"/>
      <c r="HW129" s="258"/>
      <c r="HX129" s="258"/>
      <c r="HY129" s="258"/>
      <c r="HZ129" s="258"/>
      <c r="IA129" s="258"/>
      <c r="IB129" s="258"/>
      <c r="IC129" s="258"/>
      <c r="ID129" s="258"/>
      <c r="IE129" s="258"/>
      <c r="IF129" s="258"/>
      <c r="IG129" s="258"/>
      <c r="IH129" s="258"/>
      <c r="II129" s="258"/>
      <c r="IJ129" s="258"/>
      <c r="IK129" s="258"/>
      <c r="IL129" s="258"/>
      <c r="IM129" s="258"/>
      <c r="IN129" s="258"/>
      <c r="IO129" s="258"/>
      <c r="IP129" s="258"/>
      <c r="IQ129" s="258"/>
      <c r="IR129" s="258"/>
      <c r="IS129" s="258"/>
      <c r="IT129" s="258"/>
      <c r="IU129" s="258"/>
      <c r="IV129" s="258"/>
      <c r="IW129" s="258"/>
    </row>
    <row r="130" spans="2:257" s="262" customFormat="1" x14ac:dyDescent="0.25">
      <c r="B130" s="278"/>
      <c r="C130" s="278"/>
      <c r="D130" s="281"/>
      <c r="E130" s="281"/>
      <c r="F130" s="281"/>
      <c r="G130" s="296"/>
      <c r="H130" s="298"/>
      <c r="I130" s="299"/>
      <c r="J130" s="300"/>
      <c r="K130" s="301"/>
      <c r="L130" s="302"/>
      <c r="M130" s="303"/>
      <c r="N130" s="303"/>
      <c r="O130" s="303"/>
      <c r="P130" s="304"/>
      <c r="Q130" s="304"/>
      <c r="R130" s="305"/>
      <c r="S130" s="303"/>
      <c r="T130" s="304"/>
      <c r="U130" s="306"/>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c r="BM130" s="258"/>
      <c r="BN130" s="258"/>
      <c r="BO130" s="258"/>
      <c r="BP130" s="258"/>
      <c r="BQ130" s="258"/>
      <c r="BR130" s="258"/>
      <c r="BS130" s="258"/>
      <c r="BT130" s="258"/>
      <c r="BU130" s="258"/>
      <c r="BV130" s="258"/>
      <c r="BW130" s="258"/>
      <c r="BX130" s="258"/>
      <c r="BY130" s="258"/>
      <c r="BZ130" s="258"/>
      <c r="CA130" s="258"/>
      <c r="CB130" s="258"/>
      <c r="CC130" s="258"/>
      <c r="CD130" s="258"/>
      <c r="CE130" s="258"/>
      <c r="CF130" s="258"/>
      <c r="CG130" s="258"/>
      <c r="CH130" s="258"/>
      <c r="CI130" s="258"/>
      <c r="CJ130" s="258"/>
      <c r="CK130" s="258"/>
      <c r="CL130" s="258"/>
      <c r="CM130" s="258"/>
      <c r="CN130" s="258"/>
      <c r="CO130" s="258"/>
      <c r="CP130" s="258"/>
      <c r="CQ130" s="258"/>
      <c r="CR130" s="258"/>
      <c r="CS130" s="258"/>
      <c r="CT130" s="258"/>
      <c r="CU130" s="258"/>
      <c r="CV130" s="258"/>
      <c r="CW130" s="258"/>
      <c r="CX130" s="258"/>
      <c r="CY130" s="258"/>
      <c r="CZ130" s="258"/>
      <c r="DA130" s="258"/>
      <c r="DB130" s="258"/>
      <c r="DC130" s="258"/>
      <c r="DD130" s="258"/>
      <c r="DE130" s="258"/>
      <c r="DF130" s="258"/>
      <c r="DG130" s="258"/>
      <c r="DH130" s="258"/>
      <c r="DI130" s="258"/>
      <c r="DJ130" s="258"/>
      <c r="DK130" s="258"/>
      <c r="DL130" s="258"/>
      <c r="DM130" s="258"/>
      <c r="DN130" s="258"/>
      <c r="DO130" s="258"/>
      <c r="DP130" s="258"/>
      <c r="DQ130" s="258"/>
      <c r="DR130" s="258"/>
      <c r="DS130" s="258"/>
      <c r="DT130" s="258"/>
      <c r="DU130" s="258"/>
      <c r="DV130" s="258"/>
      <c r="DW130" s="258"/>
      <c r="DX130" s="258"/>
      <c r="DY130" s="258"/>
      <c r="DZ130" s="258"/>
      <c r="EA130" s="258"/>
      <c r="EB130" s="258"/>
      <c r="EC130" s="258"/>
      <c r="ED130" s="258"/>
      <c r="EE130" s="258"/>
      <c r="EF130" s="258"/>
      <c r="EG130" s="258"/>
      <c r="EH130" s="258"/>
      <c r="EI130" s="258"/>
      <c r="EJ130" s="258"/>
      <c r="EK130" s="258"/>
      <c r="EL130" s="258"/>
      <c r="EM130" s="258"/>
      <c r="EN130" s="258"/>
      <c r="EO130" s="258"/>
      <c r="EP130" s="258"/>
      <c r="EQ130" s="258"/>
      <c r="ER130" s="258"/>
      <c r="ES130" s="258"/>
      <c r="ET130" s="258"/>
      <c r="EU130" s="258"/>
      <c r="EV130" s="258"/>
      <c r="EW130" s="258"/>
      <c r="EX130" s="258"/>
      <c r="EY130" s="258"/>
      <c r="EZ130" s="258"/>
      <c r="FA130" s="258"/>
      <c r="FB130" s="258"/>
      <c r="FC130" s="258"/>
      <c r="FD130" s="258"/>
      <c r="FE130" s="258"/>
      <c r="FF130" s="258"/>
      <c r="FG130" s="258"/>
      <c r="FH130" s="258"/>
      <c r="FI130" s="258"/>
      <c r="FJ130" s="258"/>
      <c r="FK130" s="258"/>
      <c r="FL130" s="258"/>
      <c r="FM130" s="258"/>
      <c r="FN130" s="258"/>
      <c r="FO130" s="258"/>
      <c r="FP130" s="258"/>
      <c r="FQ130" s="258"/>
      <c r="FR130" s="258"/>
      <c r="FS130" s="258"/>
      <c r="FT130" s="258"/>
      <c r="FU130" s="258"/>
      <c r="FV130" s="258"/>
      <c r="FW130" s="258"/>
      <c r="FX130" s="258"/>
      <c r="FY130" s="258"/>
      <c r="FZ130" s="258"/>
      <c r="GA130" s="258"/>
      <c r="GB130" s="258"/>
      <c r="GC130" s="258"/>
      <c r="GD130" s="258"/>
      <c r="GE130" s="258"/>
      <c r="GF130" s="258"/>
      <c r="GG130" s="258"/>
      <c r="GH130" s="258"/>
      <c r="GI130" s="258"/>
      <c r="GJ130" s="258"/>
      <c r="GK130" s="258"/>
      <c r="GL130" s="258"/>
      <c r="GM130" s="258"/>
      <c r="GN130" s="258"/>
      <c r="GO130" s="258"/>
      <c r="GP130" s="258"/>
      <c r="GQ130" s="258"/>
      <c r="GR130" s="258"/>
      <c r="GS130" s="258"/>
      <c r="GT130" s="258"/>
      <c r="GU130" s="258"/>
      <c r="GV130" s="258"/>
      <c r="GW130" s="258"/>
      <c r="GX130" s="258"/>
      <c r="GY130" s="258"/>
      <c r="GZ130" s="258"/>
      <c r="HA130" s="258"/>
      <c r="HB130" s="258"/>
      <c r="HC130" s="258"/>
      <c r="HD130" s="258"/>
      <c r="HE130" s="258"/>
      <c r="HF130" s="258"/>
      <c r="HG130" s="258"/>
      <c r="HH130" s="258"/>
      <c r="HI130" s="258"/>
      <c r="HJ130" s="258"/>
      <c r="HK130" s="258"/>
      <c r="HL130" s="258"/>
      <c r="HM130" s="258"/>
      <c r="HN130" s="258"/>
      <c r="HO130" s="258"/>
      <c r="HP130" s="258"/>
      <c r="HQ130" s="258"/>
      <c r="HR130" s="258"/>
      <c r="HS130" s="258"/>
      <c r="HT130" s="258"/>
      <c r="HU130" s="258"/>
      <c r="HV130" s="258"/>
      <c r="HW130" s="258"/>
      <c r="HX130" s="258"/>
      <c r="HY130" s="258"/>
      <c r="HZ130" s="258"/>
      <c r="IA130" s="258"/>
      <c r="IB130" s="258"/>
      <c r="IC130" s="258"/>
      <c r="ID130" s="258"/>
      <c r="IE130" s="258"/>
      <c r="IF130" s="258"/>
      <c r="IG130" s="258"/>
      <c r="IH130" s="258"/>
      <c r="II130" s="258"/>
      <c r="IJ130" s="258"/>
      <c r="IK130" s="258"/>
      <c r="IL130" s="258"/>
      <c r="IM130" s="258"/>
      <c r="IN130" s="258"/>
      <c r="IO130" s="258"/>
      <c r="IP130" s="258"/>
      <c r="IQ130" s="258"/>
      <c r="IR130" s="258"/>
      <c r="IS130" s="258"/>
      <c r="IT130" s="258"/>
      <c r="IU130" s="258"/>
      <c r="IV130" s="258"/>
      <c r="IW130" s="258"/>
    </row>
    <row r="131" spans="2:257" s="262" customFormat="1" x14ac:dyDescent="0.25">
      <c r="B131" s="278"/>
      <c r="C131" s="278"/>
      <c r="D131" s="281"/>
      <c r="E131" s="281"/>
      <c r="F131" s="281"/>
      <c r="G131" s="296"/>
      <c r="H131" s="298"/>
      <c r="I131" s="299"/>
      <c r="J131" s="300"/>
      <c r="K131" s="301"/>
      <c r="L131" s="302"/>
      <c r="M131" s="303"/>
      <c r="N131" s="303"/>
      <c r="O131" s="303"/>
      <c r="P131" s="304"/>
      <c r="Q131" s="304"/>
      <c r="R131" s="305"/>
      <c r="S131" s="303"/>
      <c r="T131" s="304"/>
      <c r="U131" s="306"/>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c r="BM131" s="258"/>
      <c r="BN131" s="258"/>
      <c r="BO131" s="258"/>
      <c r="BP131" s="258"/>
      <c r="BQ131" s="258"/>
      <c r="BR131" s="258"/>
      <c r="BS131" s="258"/>
      <c r="BT131" s="258"/>
      <c r="BU131" s="258"/>
      <c r="BV131" s="258"/>
      <c r="BW131" s="258"/>
      <c r="BX131" s="258"/>
      <c r="BY131" s="258"/>
      <c r="BZ131" s="258"/>
      <c r="CA131" s="258"/>
      <c r="CB131" s="258"/>
      <c r="CC131" s="258"/>
      <c r="CD131" s="258"/>
      <c r="CE131" s="258"/>
      <c r="CF131" s="258"/>
      <c r="CG131" s="258"/>
      <c r="CH131" s="258"/>
      <c r="CI131" s="258"/>
      <c r="CJ131" s="258"/>
      <c r="CK131" s="258"/>
      <c r="CL131" s="258"/>
      <c r="CM131" s="258"/>
      <c r="CN131" s="258"/>
      <c r="CO131" s="258"/>
      <c r="CP131" s="258"/>
      <c r="CQ131" s="258"/>
      <c r="CR131" s="258"/>
      <c r="CS131" s="258"/>
      <c r="CT131" s="258"/>
      <c r="CU131" s="258"/>
      <c r="CV131" s="258"/>
      <c r="CW131" s="258"/>
      <c r="CX131" s="258"/>
      <c r="CY131" s="258"/>
      <c r="CZ131" s="258"/>
      <c r="DA131" s="258"/>
      <c r="DB131" s="258"/>
      <c r="DC131" s="258"/>
      <c r="DD131" s="258"/>
      <c r="DE131" s="258"/>
      <c r="DF131" s="258"/>
      <c r="DG131" s="258"/>
      <c r="DH131" s="258"/>
      <c r="DI131" s="258"/>
      <c r="DJ131" s="258"/>
      <c r="DK131" s="258"/>
      <c r="DL131" s="258"/>
      <c r="DM131" s="258"/>
      <c r="DN131" s="258"/>
      <c r="DO131" s="258"/>
      <c r="DP131" s="258"/>
      <c r="DQ131" s="258"/>
      <c r="DR131" s="258"/>
      <c r="DS131" s="258"/>
      <c r="DT131" s="258"/>
      <c r="DU131" s="258"/>
      <c r="DV131" s="258"/>
      <c r="DW131" s="258"/>
      <c r="DX131" s="258"/>
      <c r="DY131" s="258"/>
      <c r="DZ131" s="258"/>
      <c r="EA131" s="258"/>
      <c r="EB131" s="258"/>
      <c r="EC131" s="258"/>
      <c r="ED131" s="258"/>
      <c r="EE131" s="258"/>
      <c r="EF131" s="258"/>
      <c r="EG131" s="258"/>
      <c r="EH131" s="258"/>
      <c r="EI131" s="258"/>
      <c r="EJ131" s="258"/>
      <c r="EK131" s="258"/>
      <c r="EL131" s="258"/>
      <c r="EM131" s="258"/>
      <c r="EN131" s="258"/>
      <c r="EO131" s="258"/>
      <c r="EP131" s="258"/>
      <c r="EQ131" s="258"/>
      <c r="ER131" s="258"/>
      <c r="ES131" s="258"/>
      <c r="ET131" s="258"/>
      <c r="EU131" s="258"/>
      <c r="EV131" s="258"/>
      <c r="EW131" s="258"/>
      <c r="EX131" s="258"/>
      <c r="EY131" s="258"/>
      <c r="EZ131" s="258"/>
      <c r="FA131" s="258"/>
      <c r="FB131" s="258"/>
      <c r="FC131" s="258"/>
      <c r="FD131" s="258"/>
      <c r="FE131" s="258"/>
      <c r="FF131" s="258"/>
      <c r="FG131" s="258"/>
      <c r="FH131" s="258"/>
      <c r="FI131" s="258"/>
      <c r="FJ131" s="258"/>
      <c r="FK131" s="258"/>
      <c r="FL131" s="258"/>
      <c r="FM131" s="258"/>
      <c r="FN131" s="258"/>
      <c r="FO131" s="258"/>
      <c r="FP131" s="258"/>
      <c r="FQ131" s="258"/>
      <c r="FR131" s="258"/>
      <c r="FS131" s="258"/>
      <c r="FT131" s="258"/>
      <c r="FU131" s="258"/>
      <c r="FV131" s="258"/>
      <c r="FW131" s="258"/>
      <c r="FX131" s="258"/>
      <c r="FY131" s="258"/>
      <c r="FZ131" s="258"/>
      <c r="GA131" s="258"/>
      <c r="GB131" s="258"/>
      <c r="GC131" s="258"/>
      <c r="GD131" s="258"/>
      <c r="GE131" s="258"/>
      <c r="GF131" s="258"/>
      <c r="GG131" s="258"/>
      <c r="GH131" s="258"/>
      <c r="GI131" s="258"/>
      <c r="GJ131" s="258"/>
      <c r="GK131" s="258"/>
      <c r="GL131" s="258"/>
      <c r="GM131" s="258"/>
      <c r="GN131" s="258"/>
      <c r="GO131" s="258"/>
      <c r="GP131" s="258"/>
      <c r="GQ131" s="258"/>
      <c r="GR131" s="258"/>
      <c r="GS131" s="258"/>
      <c r="GT131" s="258"/>
      <c r="GU131" s="258"/>
      <c r="GV131" s="258"/>
      <c r="GW131" s="258"/>
      <c r="GX131" s="258"/>
      <c r="GY131" s="258"/>
      <c r="GZ131" s="258"/>
      <c r="HA131" s="258"/>
      <c r="HB131" s="258"/>
      <c r="HC131" s="258"/>
      <c r="HD131" s="258"/>
      <c r="HE131" s="258"/>
      <c r="HF131" s="258"/>
      <c r="HG131" s="258"/>
      <c r="HH131" s="258"/>
      <c r="HI131" s="258"/>
      <c r="HJ131" s="258"/>
      <c r="HK131" s="258"/>
      <c r="HL131" s="258"/>
      <c r="HM131" s="258"/>
      <c r="HN131" s="258"/>
      <c r="HO131" s="258"/>
      <c r="HP131" s="258"/>
      <c r="HQ131" s="258"/>
      <c r="HR131" s="258"/>
      <c r="HS131" s="258"/>
      <c r="HT131" s="258"/>
      <c r="HU131" s="258"/>
      <c r="HV131" s="258"/>
      <c r="HW131" s="258"/>
      <c r="HX131" s="258"/>
      <c r="HY131" s="258"/>
      <c r="HZ131" s="258"/>
      <c r="IA131" s="258"/>
      <c r="IB131" s="258"/>
      <c r="IC131" s="258"/>
      <c r="ID131" s="258"/>
      <c r="IE131" s="258"/>
      <c r="IF131" s="258"/>
      <c r="IG131" s="258"/>
      <c r="IH131" s="258"/>
      <c r="II131" s="258"/>
      <c r="IJ131" s="258"/>
      <c r="IK131" s="258"/>
      <c r="IL131" s="258"/>
      <c r="IM131" s="258"/>
      <c r="IN131" s="258"/>
      <c r="IO131" s="258"/>
      <c r="IP131" s="258"/>
      <c r="IQ131" s="258"/>
      <c r="IR131" s="258"/>
      <c r="IS131" s="258"/>
      <c r="IT131" s="258"/>
      <c r="IU131" s="258"/>
      <c r="IV131" s="258"/>
      <c r="IW131" s="258"/>
    </row>
    <row r="132" spans="2:257" s="262" customFormat="1" x14ac:dyDescent="0.25">
      <c r="B132" s="278"/>
      <c r="C132" s="278"/>
      <c r="D132" s="281"/>
      <c r="E132" s="281"/>
      <c r="F132" s="281"/>
      <c r="G132" s="296"/>
      <c r="H132" s="298"/>
      <c r="I132" s="299"/>
      <c r="J132" s="300"/>
      <c r="K132" s="301"/>
      <c r="L132" s="302"/>
      <c r="M132" s="303"/>
      <c r="N132" s="303"/>
      <c r="O132" s="303"/>
      <c r="P132" s="304"/>
      <c r="Q132" s="304"/>
      <c r="R132" s="305"/>
      <c r="S132" s="303"/>
      <c r="T132" s="304"/>
      <c r="U132" s="306"/>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c r="BM132" s="258"/>
      <c r="BN132" s="258"/>
      <c r="BO132" s="258"/>
      <c r="BP132" s="258"/>
      <c r="BQ132" s="258"/>
      <c r="BR132" s="258"/>
      <c r="BS132" s="258"/>
      <c r="BT132" s="258"/>
      <c r="BU132" s="258"/>
      <c r="BV132" s="258"/>
      <c r="BW132" s="258"/>
      <c r="BX132" s="258"/>
      <c r="BY132" s="258"/>
      <c r="BZ132" s="258"/>
      <c r="CA132" s="258"/>
      <c r="CB132" s="258"/>
      <c r="CC132" s="258"/>
      <c r="CD132" s="258"/>
      <c r="CE132" s="258"/>
      <c r="CF132" s="258"/>
      <c r="CG132" s="258"/>
      <c r="CH132" s="258"/>
      <c r="CI132" s="258"/>
      <c r="CJ132" s="258"/>
      <c r="CK132" s="258"/>
      <c r="CL132" s="258"/>
      <c r="CM132" s="258"/>
      <c r="CN132" s="258"/>
      <c r="CO132" s="258"/>
      <c r="CP132" s="258"/>
      <c r="CQ132" s="258"/>
      <c r="CR132" s="258"/>
      <c r="CS132" s="258"/>
      <c r="CT132" s="258"/>
      <c r="CU132" s="258"/>
      <c r="CV132" s="258"/>
      <c r="CW132" s="258"/>
      <c r="CX132" s="258"/>
      <c r="CY132" s="258"/>
      <c r="CZ132" s="258"/>
      <c r="DA132" s="258"/>
      <c r="DB132" s="258"/>
      <c r="DC132" s="258"/>
      <c r="DD132" s="258"/>
      <c r="DE132" s="258"/>
      <c r="DF132" s="258"/>
      <c r="DG132" s="258"/>
      <c r="DH132" s="258"/>
      <c r="DI132" s="258"/>
      <c r="DJ132" s="258"/>
      <c r="DK132" s="258"/>
      <c r="DL132" s="258"/>
      <c r="DM132" s="258"/>
      <c r="DN132" s="258"/>
      <c r="DO132" s="258"/>
      <c r="DP132" s="258"/>
      <c r="DQ132" s="258"/>
      <c r="DR132" s="258"/>
      <c r="DS132" s="258"/>
      <c r="DT132" s="258"/>
      <c r="DU132" s="258"/>
      <c r="DV132" s="258"/>
      <c r="DW132" s="258"/>
      <c r="DX132" s="258"/>
      <c r="DY132" s="258"/>
      <c r="DZ132" s="258"/>
      <c r="EA132" s="258"/>
      <c r="EB132" s="258"/>
      <c r="EC132" s="258"/>
      <c r="ED132" s="258"/>
      <c r="EE132" s="258"/>
      <c r="EF132" s="258"/>
      <c r="EG132" s="258"/>
      <c r="EH132" s="258"/>
      <c r="EI132" s="258"/>
      <c r="EJ132" s="258"/>
      <c r="EK132" s="258"/>
      <c r="EL132" s="258"/>
      <c r="EM132" s="258"/>
      <c r="EN132" s="258"/>
      <c r="EO132" s="258"/>
      <c r="EP132" s="258"/>
      <c r="EQ132" s="258"/>
      <c r="ER132" s="258"/>
      <c r="ES132" s="258"/>
      <c r="ET132" s="258"/>
      <c r="EU132" s="258"/>
      <c r="EV132" s="258"/>
      <c r="EW132" s="258"/>
      <c r="EX132" s="258"/>
      <c r="EY132" s="258"/>
      <c r="EZ132" s="258"/>
      <c r="FA132" s="258"/>
      <c r="FB132" s="258"/>
      <c r="FC132" s="258"/>
      <c r="FD132" s="258"/>
      <c r="FE132" s="258"/>
      <c r="FF132" s="258"/>
      <c r="FG132" s="258"/>
      <c r="FH132" s="258"/>
      <c r="FI132" s="258"/>
      <c r="FJ132" s="258"/>
      <c r="FK132" s="258"/>
      <c r="FL132" s="258"/>
      <c r="FM132" s="258"/>
      <c r="FN132" s="258"/>
      <c r="FO132" s="258"/>
      <c r="FP132" s="258"/>
      <c r="FQ132" s="258"/>
      <c r="FR132" s="258"/>
      <c r="FS132" s="258"/>
      <c r="FT132" s="258"/>
      <c r="FU132" s="258"/>
      <c r="FV132" s="258"/>
      <c r="FW132" s="258"/>
      <c r="FX132" s="258"/>
      <c r="FY132" s="258"/>
      <c r="FZ132" s="258"/>
      <c r="GA132" s="258"/>
      <c r="GB132" s="258"/>
      <c r="GC132" s="258"/>
      <c r="GD132" s="258"/>
      <c r="GE132" s="258"/>
      <c r="GF132" s="258"/>
      <c r="GG132" s="258"/>
      <c r="GH132" s="258"/>
      <c r="GI132" s="258"/>
      <c r="GJ132" s="258"/>
      <c r="GK132" s="258"/>
      <c r="GL132" s="258"/>
      <c r="GM132" s="258"/>
      <c r="GN132" s="258"/>
      <c r="GO132" s="258"/>
      <c r="GP132" s="258"/>
      <c r="GQ132" s="258"/>
      <c r="GR132" s="258"/>
      <c r="GS132" s="258"/>
      <c r="GT132" s="258"/>
      <c r="GU132" s="258"/>
      <c r="GV132" s="258"/>
      <c r="GW132" s="258"/>
      <c r="GX132" s="258"/>
      <c r="GY132" s="258"/>
      <c r="GZ132" s="258"/>
      <c r="HA132" s="258"/>
      <c r="HB132" s="258"/>
      <c r="HC132" s="258"/>
      <c r="HD132" s="258"/>
      <c r="HE132" s="258"/>
      <c r="HF132" s="258"/>
      <c r="HG132" s="258"/>
      <c r="HH132" s="258"/>
      <c r="HI132" s="258"/>
      <c r="HJ132" s="258"/>
      <c r="HK132" s="258"/>
      <c r="HL132" s="258"/>
      <c r="HM132" s="258"/>
      <c r="HN132" s="258"/>
      <c r="HO132" s="258"/>
      <c r="HP132" s="258"/>
      <c r="HQ132" s="258"/>
      <c r="HR132" s="258"/>
      <c r="HS132" s="258"/>
      <c r="HT132" s="258"/>
      <c r="HU132" s="258"/>
      <c r="HV132" s="258"/>
      <c r="HW132" s="258"/>
      <c r="HX132" s="258"/>
      <c r="HY132" s="258"/>
      <c r="HZ132" s="258"/>
      <c r="IA132" s="258"/>
      <c r="IB132" s="258"/>
      <c r="IC132" s="258"/>
      <c r="ID132" s="258"/>
      <c r="IE132" s="258"/>
      <c r="IF132" s="258"/>
      <c r="IG132" s="258"/>
      <c r="IH132" s="258"/>
      <c r="II132" s="258"/>
      <c r="IJ132" s="258"/>
      <c r="IK132" s="258"/>
      <c r="IL132" s="258"/>
      <c r="IM132" s="258"/>
      <c r="IN132" s="258"/>
      <c r="IO132" s="258"/>
      <c r="IP132" s="258"/>
      <c r="IQ132" s="258"/>
      <c r="IR132" s="258"/>
      <c r="IS132" s="258"/>
      <c r="IT132" s="258"/>
      <c r="IU132" s="258"/>
      <c r="IV132" s="258"/>
      <c r="IW132" s="258"/>
    </row>
    <row r="133" spans="2:257" s="262" customFormat="1" x14ac:dyDescent="0.25">
      <c r="B133" s="278"/>
      <c r="C133" s="278"/>
      <c r="D133" s="281"/>
      <c r="E133" s="281"/>
      <c r="F133" s="281"/>
      <c r="G133" s="296"/>
      <c r="H133" s="298"/>
      <c r="I133" s="299"/>
      <c r="J133" s="300"/>
      <c r="K133" s="301"/>
      <c r="L133" s="302"/>
      <c r="M133" s="303"/>
      <c r="N133" s="303"/>
      <c r="O133" s="303"/>
      <c r="P133" s="304"/>
      <c r="Q133" s="304"/>
      <c r="R133" s="305"/>
      <c r="S133" s="303"/>
      <c r="T133" s="304"/>
      <c r="U133" s="306"/>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c r="BM133" s="258"/>
      <c r="BN133" s="258"/>
      <c r="BO133" s="258"/>
      <c r="BP133" s="258"/>
      <c r="BQ133" s="258"/>
      <c r="BR133" s="258"/>
      <c r="BS133" s="258"/>
      <c r="BT133" s="258"/>
      <c r="BU133" s="258"/>
      <c r="BV133" s="258"/>
      <c r="BW133" s="258"/>
      <c r="BX133" s="258"/>
      <c r="BY133" s="258"/>
      <c r="BZ133" s="258"/>
      <c r="CA133" s="258"/>
      <c r="CB133" s="258"/>
      <c r="CC133" s="258"/>
      <c r="CD133" s="258"/>
      <c r="CE133" s="258"/>
      <c r="CF133" s="258"/>
      <c r="CG133" s="258"/>
      <c r="CH133" s="258"/>
      <c r="CI133" s="258"/>
      <c r="CJ133" s="258"/>
      <c r="CK133" s="258"/>
      <c r="CL133" s="258"/>
      <c r="CM133" s="258"/>
      <c r="CN133" s="258"/>
      <c r="CO133" s="258"/>
      <c r="CP133" s="258"/>
      <c r="CQ133" s="258"/>
      <c r="CR133" s="258"/>
      <c r="CS133" s="258"/>
      <c r="CT133" s="258"/>
      <c r="CU133" s="258"/>
      <c r="CV133" s="258"/>
      <c r="CW133" s="258"/>
      <c r="CX133" s="258"/>
      <c r="CY133" s="258"/>
      <c r="CZ133" s="258"/>
      <c r="DA133" s="258"/>
      <c r="DB133" s="258"/>
      <c r="DC133" s="258"/>
      <c r="DD133" s="258"/>
      <c r="DE133" s="258"/>
      <c r="DF133" s="258"/>
      <c r="DG133" s="258"/>
      <c r="DH133" s="258"/>
      <c r="DI133" s="258"/>
      <c r="DJ133" s="258"/>
      <c r="DK133" s="258"/>
      <c r="DL133" s="258"/>
      <c r="DM133" s="258"/>
      <c r="DN133" s="258"/>
      <c r="DO133" s="258"/>
      <c r="DP133" s="258"/>
      <c r="DQ133" s="258"/>
      <c r="DR133" s="258"/>
      <c r="DS133" s="258"/>
      <c r="DT133" s="258"/>
      <c r="DU133" s="258"/>
      <c r="DV133" s="258"/>
      <c r="DW133" s="258"/>
      <c r="DX133" s="258"/>
      <c r="DY133" s="258"/>
      <c r="DZ133" s="258"/>
      <c r="EA133" s="258"/>
      <c r="EB133" s="258"/>
      <c r="EC133" s="258"/>
      <c r="ED133" s="258"/>
      <c r="EE133" s="258"/>
      <c r="EF133" s="258"/>
      <c r="EG133" s="258"/>
      <c r="EH133" s="258"/>
      <c r="EI133" s="258"/>
      <c r="EJ133" s="258"/>
      <c r="EK133" s="258"/>
      <c r="EL133" s="258"/>
      <c r="EM133" s="258"/>
      <c r="EN133" s="258"/>
      <c r="EO133" s="258"/>
      <c r="EP133" s="258"/>
      <c r="EQ133" s="258"/>
      <c r="ER133" s="258"/>
      <c r="ES133" s="258"/>
      <c r="ET133" s="258"/>
      <c r="EU133" s="258"/>
      <c r="EV133" s="258"/>
      <c r="EW133" s="258"/>
      <c r="EX133" s="258"/>
      <c r="EY133" s="258"/>
      <c r="EZ133" s="258"/>
      <c r="FA133" s="258"/>
      <c r="FB133" s="258"/>
      <c r="FC133" s="258"/>
      <c r="FD133" s="258"/>
      <c r="FE133" s="258"/>
      <c r="FF133" s="258"/>
      <c r="FG133" s="258"/>
      <c r="FH133" s="258"/>
      <c r="FI133" s="258"/>
      <c r="FJ133" s="258"/>
      <c r="FK133" s="258"/>
      <c r="FL133" s="258"/>
      <c r="FM133" s="258"/>
      <c r="FN133" s="258"/>
      <c r="FO133" s="258"/>
      <c r="FP133" s="258"/>
      <c r="FQ133" s="258"/>
      <c r="FR133" s="258"/>
      <c r="FS133" s="258"/>
      <c r="FT133" s="258"/>
      <c r="FU133" s="258"/>
      <c r="FV133" s="258"/>
      <c r="FW133" s="258"/>
      <c r="FX133" s="258"/>
      <c r="FY133" s="258"/>
      <c r="FZ133" s="258"/>
      <c r="GA133" s="258"/>
      <c r="GB133" s="258"/>
      <c r="GC133" s="258"/>
      <c r="GD133" s="258"/>
      <c r="GE133" s="258"/>
      <c r="GF133" s="258"/>
      <c r="GG133" s="258"/>
      <c r="GH133" s="258"/>
      <c r="GI133" s="258"/>
      <c r="GJ133" s="258"/>
      <c r="GK133" s="258"/>
      <c r="GL133" s="258"/>
      <c r="GM133" s="258"/>
      <c r="GN133" s="258"/>
      <c r="GO133" s="258"/>
      <c r="GP133" s="258"/>
      <c r="GQ133" s="258"/>
      <c r="GR133" s="258"/>
      <c r="GS133" s="258"/>
      <c r="GT133" s="258"/>
      <c r="GU133" s="258"/>
      <c r="GV133" s="258"/>
      <c r="GW133" s="258"/>
      <c r="GX133" s="258"/>
      <c r="GY133" s="258"/>
      <c r="GZ133" s="258"/>
      <c r="HA133" s="258"/>
      <c r="HB133" s="258"/>
      <c r="HC133" s="258"/>
      <c r="HD133" s="258"/>
      <c r="HE133" s="258"/>
      <c r="HF133" s="258"/>
      <c r="HG133" s="258"/>
      <c r="HH133" s="258"/>
      <c r="HI133" s="258"/>
      <c r="HJ133" s="258"/>
      <c r="HK133" s="258"/>
      <c r="HL133" s="258"/>
      <c r="HM133" s="258"/>
      <c r="HN133" s="258"/>
      <c r="HO133" s="258"/>
      <c r="HP133" s="258"/>
      <c r="HQ133" s="258"/>
      <c r="HR133" s="258"/>
      <c r="HS133" s="258"/>
      <c r="HT133" s="258"/>
      <c r="HU133" s="258"/>
      <c r="HV133" s="258"/>
      <c r="HW133" s="258"/>
      <c r="HX133" s="258"/>
      <c r="HY133" s="258"/>
      <c r="HZ133" s="258"/>
      <c r="IA133" s="258"/>
      <c r="IB133" s="258"/>
      <c r="IC133" s="258"/>
      <c r="ID133" s="258"/>
      <c r="IE133" s="258"/>
      <c r="IF133" s="258"/>
      <c r="IG133" s="258"/>
      <c r="IH133" s="258"/>
      <c r="II133" s="258"/>
      <c r="IJ133" s="258"/>
      <c r="IK133" s="258"/>
      <c r="IL133" s="258"/>
      <c r="IM133" s="258"/>
      <c r="IN133" s="258"/>
      <c r="IO133" s="258"/>
      <c r="IP133" s="258"/>
      <c r="IQ133" s="258"/>
      <c r="IR133" s="258"/>
      <c r="IS133" s="258"/>
      <c r="IT133" s="258"/>
      <c r="IU133" s="258"/>
      <c r="IV133" s="258"/>
      <c r="IW133" s="258"/>
    </row>
    <row r="134" spans="2:257" s="262" customFormat="1" x14ac:dyDescent="0.25">
      <c r="B134" s="278"/>
      <c r="C134" s="278"/>
      <c r="D134" s="281"/>
      <c r="E134" s="281"/>
      <c r="F134" s="281"/>
      <c r="G134" s="281"/>
      <c r="H134" s="281"/>
      <c r="I134" s="281"/>
      <c r="J134" s="281"/>
      <c r="K134" s="281"/>
      <c r="L134" s="281"/>
      <c r="M134" s="281"/>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c r="BM134" s="258"/>
      <c r="BN134" s="258"/>
      <c r="BO134" s="258"/>
      <c r="BP134" s="258"/>
      <c r="BQ134" s="258"/>
      <c r="BR134" s="258"/>
      <c r="BS134" s="258"/>
      <c r="BT134" s="258"/>
      <c r="BU134" s="258"/>
      <c r="BV134" s="258"/>
      <c r="BW134" s="258"/>
      <c r="BX134" s="258"/>
      <c r="BY134" s="258"/>
      <c r="BZ134" s="258"/>
      <c r="CA134" s="258"/>
      <c r="CB134" s="258"/>
      <c r="CC134" s="258"/>
      <c r="CD134" s="258"/>
      <c r="CE134" s="258"/>
      <c r="CF134" s="258"/>
      <c r="CG134" s="258"/>
      <c r="CH134" s="258"/>
      <c r="CI134" s="258"/>
      <c r="CJ134" s="258"/>
      <c r="CK134" s="258"/>
      <c r="CL134" s="258"/>
      <c r="CM134" s="258"/>
      <c r="CN134" s="258"/>
      <c r="CO134" s="258"/>
      <c r="CP134" s="258"/>
      <c r="CQ134" s="258"/>
      <c r="CR134" s="258"/>
      <c r="CS134" s="258"/>
      <c r="CT134" s="258"/>
      <c r="CU134" s="258"/>
      <c r="CV134" s="258"/>
      <c r="CW134" s="258"/>
      <c r="CX134" s="258"/>
      <c r="CY134" s="258"/>
      <c r="CZ134" s="258"/>
      <c r="DA134" s="258"/>
      <c r="DB134" s="258"/>
      <c r="DC134" s="258"/>
      <c r="DD134" s="258"/>
      <c r="DE134" s="258"/>
      <c r="DF134" s="258"/>
      <c r="DG134" s="258"/>
      <c r="DH134" s="258"/>
      <c r="DI134" s="258"/>
      <c r="DJ134" s="258"/>
      <c r="DK134" s="258"/>
      <c r="DL134" s="258"/>
      <c r="DM134" s="258"/>
      <c r="DN134" s="258"/>
      <c r="DO134" s="258"/>
      <c r="DP134" s="258"/>
      <c r="DQ134" s="258"/>
      <c r="DR134" s="258"/>
      <c r="DS134" s="258"/>
      <c r="DT134" s="258"/>
      <c r="DU134" s="258"/>
      <c r="DV134" s="258"/>
      <c r="DW134" s="258"/>
      <c r="DX134" s="258"/>
      <c r="DY134" s="258"/>
      <c r="DZ134" s="258"/>
      <c r="EA134" s="258"/>
      <c r="EB134" s="258"/>
      <c r="EC134" s="258"/>
      <c r="ED134" s="258"/>
      <c r="EE134" s="258"/>
      <c r="EF134" s="258"/>
      <c r="EG134" s="258"/>
      <c r="EH134" s="258"/>
      <c r="EI134" s="258"/>
      <c r="EJ134" s="258"/>
      <c r="EK134" s="258"/>
      <c r="EL134" s="258"/>
      <c r="EM134" s="258"/>
      <c r="EN134" s="258"/>
      <c r="EO134" s="258"/>
      <c r="EP134" s="258"/>
      <c r="EQ134" s="258"/>
      <c r="ER134" s="258"/>
      <c r="ES134" s="258"/>
      <c r="ET134" s="258"/>
      <c r="EU134" s="258"/>
      <c r="EV134" s="258"/>
      <c r="EW134" s="258"/>
      <c r="EX134" s="258"/>
      <c r="EY134" s="258"/>
      <c r="EZ134" s="258"/>
      <c r="FA134" s="258"/>
      <c r="FB134" s="258"/>
      <c r="FC134" s="258"/>
      <c r="FD134" s="258"/>
      <c r="FE134" s="258"/>
      <c r="FF134" s="258"/>
      <c r="FG134" s="258"/>
      <c r="FH134" s="258"/>
      <c r="FI134" s="258"/>
      <c r="FJ134" s="258"/>
      <c r="FK134" s="258"/>
      <c r="FL134" s="258"/>
      <c r="FM134" s="258"/>
      <c r="FN134" s="258"/>
      <c r="FO134" s="258"/>
      <c r="FP134" s="258"/>
      <c r="FQ134" s="258"/>
      <c r="FR134" s="258"/>
      <c r="FS134" s="258"/>
      <c r="FT134" s="258"/>
      <c r="FU134" s="258"/>
      <c r="FV134" s="258"/>
      <c r="FW134" s="258"/>
      <c r="FX134" s="258"/>
      <c r="FY134" s="258"/>
      <c r="FZ134" s="258"/>
      <c r="GA134" s="258"/>
      <c r="GB134" s="258"/>
      <c r="GC134" s="258"/>
      <c r="GD134" s="258"/>
      <c r="GE134" s="258"/>
      <c r="GF134" s="258"/>
      <c r="GG134" s="258"/>
      <c r="GH134" s="258"/>
      <c r="GI134" s="258"/>
      <c r="GJ134" s="258"/>
      <c r="GK134" s="258"/>
      <c r="GL134" s="258"/>
      <c r="GM134" s="258"/>
      <c r="GN134" s="258"/>
      <c r="GO134" s="258"/>
      <c r="GP134" s="258"/>
      <c r="GQ134" s="258"/>
      <c r="GR134" s="258"/>
      <c r="GS134" s="258"/>
      <c r="GT134" s="258"/>
      <c r="GU134" s="258"/>
      <c r="GV134" s="258"/>
      <c r="GW134" s="258"/>
      <c r="GX134" s="258"/>
      <c r="GY134" s="258"/>
      <c r="GZ134" s="258"/>
      <c r="HA134" s="258"/>
      <c r="HB134" s="258"/>
      <c r="HC134" s="258"/>
      <c r="HD134" s="258"/>
      <c r="HE134" s="258"/>
      <c r="HF134" s="258"/>
      <c r="HG134" s="258"/>
      <c r="HH134" s="258"/>
      <c r="HI134" s="258"/>
      <c r="HJ134" s="258"/>
      <c r="HK134" s="258"/>
      <c r="HL134" s="258"/>
      <c r="HM134" s="258"/>
      <c r="HN134" s="258"/>
      <c r="HO134" s="258"/>
      <c r="HP134" s="258"/>
      <c r="HQ134" s="258"/>
      <c r="HR134" s="258"/>
      <c r="HS134" s="258"/>
      <c r="HT134" s="258"/>
      <c r="HU134" s="258"/>
      <c r="HV134" s="258"/>
      <c r="HW134" s="258"/>
      <c r="HX134" s="258"/>
      <c r="HY134" s="258"/>
      <c r="HZ134" s="258"/>
      <c r="IA134" s="258"/>
      <c r="IB134" s="258"/>
      <c r="IC134" s="258"/>
      <c r="ID134" s="258"/>
      <c r="IE134" s="258"/>
      <c r="IF134" s="258"/>
      <c r="IG134" s="258"/>
      <c r="IH134" s="258"/>
      <c r="II134" s="258"/>
      <c r="IJ134" s="258"/>
      <c r="IK134" s="258"/>
      <c r="IL134" s="258"/>
      <c r="IM134" s="258"/>
      <c r="IN134" s="258"/>
      <c r="IO134" s="258"/>
      <c r="IP134" s="258"/>
      <c r="IQ134" s="258"/>
      <c r="IR134" s="258"/>
      <c r="IS134" s="258"/>
      <c r="IT134" s="258"/>
      <c r="IU134" s="258"/>
      <c r="IV134" s="258"/>
      <c r="IW134" s="258"/>
    </row>
    <row r="135" spans="2:257" s="262" customFormat="1" x14ac:dyDescent="0.25">
      <c r="B135" s="278"/>
      <c r="C135" s="278"/>
      <c r="D135" s="281"/>
      <c r="E135" s="281"/>
      <c r="F135" s="281"/>
      <c r="G135" s="281"/>
      <c r="H135" s="281"/>
      <c r="I135" s="281"/>
      <c r="J135" s="281"/>
      <c r="K135" s="281"/>
      <c r="L135" s="281"/>
      <c r="M135" s="281"/>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c r="BM135" s="258"/>
      <c r="BN135" s="258"/>
      <c r="BO135" s="258"/>
      <c r="BP135" s="258"/>
      <c r="BQ135" s="258"/>
      <c r="BR135" s="258"/>
      <c r="BS135" s="258"/>
      <c r="BT135" s="258"/>
      <c r="BU135" s="258"/>
      <c r="BV135" s="258"/>
      <c r="BW135" s="258"/>
      <c r="BX135" s="258"/>
      <c r="BY135" s="258"/>
      <c r="BZ135" s="258"/>
      <c r="CA135" s="258"/>
      <c r="CB135" s="258"/>
      <c r="CC135" s="258"/>
      <c r="CD135" s="258"/>
      <c r="CE135" s="258"/>
      <c r="CF135" s="258"/>
      <c r="CG135" s="258"/>
      <c r="CH135" s="258"/>
      <c r="CI135" s="258"/>
      <c r="CJ135" s="258"/>
      <c r="CK135" s="258"/>
      <c r="CL135" s="258"/>
      <c r="CM135" s="258"/>
      <c r="CN135" s="258"/>
      <c r="CO135" s="258"/>
      <c r="CP135" s="258"/>
      <c r="CQ135" s="258"/>
      <c r="CR135" s="258"/>
      <c r="CS135" s="258"/>
      <c r="CT135" s="258"/>
      <c r="CU135" s="258"/>
      <c r="CV135" s="258"/>
      <c r="CW135" s="258"/>
      <c r="CX135" s="258"/>
      <c r="CY135" s="258"/>
      <c r="CZ135" s="258"/>
      <c r="DA135" s="258"/>
      <c r="DB135" s="258"/>
      <c r="DC135" s="258"/>
      <c r="DD135" s="258"/>
      <c r="DE135" s="258"/>
      <c r="DF135" s="258"/>
      <c r="DG135" s="258"/>
      <c r="DH135" s="258"/>
      <c r="DI135" s="258"/>
      <c r="DJ135" s="258"/>
      <c r="DK135" s="258"/>
      <c r="DL135" s="258"/>
      <c r="DM135" s="258"/>
      <c r="DN135" s="258"/>
      <c r="DO135" s="258"/>
      <c r="DP135" s="258"/>
      <c r="DQ135" s="258"/>
      <c r="DR135" s="258"/>
      <c r="DS135" s="258"/>
      <c r="DT135" s="258"/>
      <c r="DU135" s="258"/>
      <c r="DV135" s="258"/>
      <c r="DW135" s="258"/>
      <c r="DX135" s="258"/>
      <c r="DY135" s="258"/>
      <c r="DZ135" s="258"/>
      <c r="EA135" s="258"/>
      <c r="EB135" s="258"/>
      <c r="EC135" s="258"/>
      <c r="ED135" s="258"/>
      <c r="EE135" s="258"/>
      <c r="EF135" s="258"/>
      <c r="EG135" s="258"/>
      <c r="EH135" s="258"/>
      <c r="EI135" s="258"/>
      <c r="EJ135" s="258"/>
      <c r="EK135" s="258"/>
      <c r="EL135" s="258"/>
      <c r="EM135" s="258"/>
      <c r="EN135" s="258"/>
      <c r="EO135" s="258"/>
      <c r="EP135" s="258"/>
      <c r="EQ135" s="258"/>
      <c r="ER135" s="258"/>
      <c r="ES135" s="258"/>
      <c r="ET135" s="258"/>
      <c r="EU135" s="258"/>
      <c r="EV135" s="258"/>
      <c r="EW135" s="258"/>
      <c r="EX135" s="258"/>
      <c r="EY135" s="258"/>
      <c r="EZ135" s="258"/>
      <c r="FA135" s="258"/>
      <c r="FB135" s="258"/>
      <c r="FC135" s="258"/>
      <c r="FD135" s="258"/>
      <c r="FE135" s="258"/>
      <c r="FF135" s="258"/>
      <c r="FG135" s="258"/>
      <c r="FH135" s="258"/>
      <c r="FI135" s="258"/>
      <c r="FJ135" s="258"/>
      <c r="FK135" s="258"/>
      <c r="FL135" s="258"/>
      <c r="FM135" s="258"/>
      <c r="FN135" s="258"/>
      <c r="FO135" s="258"/>
      <c r="FP135" s="258"/>
      <c r="FQ135" s="258"/>
      <c r="FR135" s="258"/>
      <c r="FS135" s="258"/>
      <c r="FT135" s="258"/>
      <c r="FU135" s="258"/>
      <c r="FV135" s="258"/>
      <c r="FW135" s="258"/>
      <c r="FX135" s="258"/>
      <c r="FY135" s="258"/>
      <c r="FZ135" s="258"/>
      <c r="GA135" s="258"/>
      <c r="GB135" s="258"/>
      <c r="GC135" s="258"/>
      <c r="GD135" s="258"/>
      <c r="GE135" s="258"/>
      <c r="GF135" s="258"/>
      <c r="GG135" s="258"/>
      <c r="GH135" s="258"/>
      <c r="GI135" s="258"/>
      <c r="GJ135" s="258"/>
      <c r="GK135" s="258"/>
      <c r="GL135" s="258"/>
      <c r="GM135" s="258"/>
      <c r="GN135" s="258"/>
      <c r="GO135" s="258"/>
      <c r="GP135" s="258"/>
      <c r="GQ135" s="258"/>
      <c r="GR135" s="258"/>
      <c r="GS135" s="258"/>
      <c r="GT135" s="258"/>
      <c r="GU135" s="258"/>
      <c r="GV135" s="258"/>
      <c r="GW135" s="258"/>
      <c r="GX135" s="258"/>
      <c r="GY135" s="258"/>
      <c r="GZ135" s="258"/>
      <c r="HA135" s="258"/>
      <c r="HB135" s="258"/>
      <c r="HC135" s="258"/>
      <c r="HD135" s="258"/>
      <c r="HE135" s="258"/>
      <c r="HF135" s="258"/>
      <c r="HG135" s="258"/>
      <c r="HH135" s="258"/>
      <c r="HI135" s="258"/>
      <c r="HJ135" s="258"/>
      <c r="HK135" s="258"/>
      <c r="HL135" s="258"/>
      <c r="HM135" s="258"/>
      <c r="HN135" s="258"/>
      <c r="HO135" s="258"/>
      <c r="HP135" s="258"/>
      <c r="HQ135" s="258"/>
      <c r="HR135" s="258"/>
      <c r="HS135" s="258"/>
      <c r="HT135" s="258"/>
      <c r="HU135" s="258"/>
      <c r="HV135" s="258"/>
      <c r="HW135" s="258"/>
      <c r="HX135" s="258"/>
      <c r="HY135" s="258"/>
      <c r="HZ135" s="258"/>
      <c r="IA135" s="258"/>
      <c r="IB135" s="258"/>
      <c r="IC135" s="258"/>
      <c r="ID135" s="258"/>
      <c r="IE135" s="258"/>
      <c r="IF135" s="258"/>
      <c r="IG135" s="258"/>
      <c r="IH135" s="258"/>
      <c r="II135" s="258"/>
      <c r="IJ135" s="258"/>
      <c r="IK135" s="258"/>
      <c r="IL135" s="258"/>
      <c r="IM135" s="258"/>
      <c r="IN135" s="258"/>
      <c r="IO135" s="258"/>
      <c r="IP135" s="258"/>
      <c r="IQ135" s="258"/>
      <c r="IR135" s="258"/>
      <c r="IS135" s="258"/>
      <c r="IT135" s="258"/>
      <c r="IU135" s="258"/>
      <c r="IV135" s="258"/>
      <c r="IW135" s="258"/>
    </row>
    <row r="136" spans="2:257" s="262" customFormat="1" x14ac:dyDescent="0.25">
      <c r="B136" s="278"/>
      <c r="C136" s="278"/>
      <c r="D136" s="281"/>
      <c r="E136" s="281"/>
      <c r="F136" s="281"/>
      <c r="G136" s="281"/>
      <c r="H136" s="281"/>
      <c r="I136" s="281"/>
      <c r="J136" s="281"/>
      <c r="K136" s="281"/>
      <c r="L136" s="281"/>
      <c r="M136" s="281"/>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c r="BM136" s="258"/>
      <c r="BN136" s="258"/>
      <c r="BO136" s="258"/>
      <c r="BP136" s="258"/>
      <c r="BQ136" s="258"/>
      <c r="BR136" s="258"/>
      <c r="BS136" s="258"/>
      <c r="BT136" s="258"/>
      <c r="BU136" s="258"/>
      <c r="BV136" s="258"/>
      <c r="BW136" s="258"/>
      <c r="BX136" s="258"/>
      <c r="BY136" s="258"/>
      <c r="BZ136" s="258"/>
      <c r="CA136" s="258"/>
      <c r="CB136" s="258"/>
      <c r="CC136" s="258"/>
      <c r="CD136" s="258"/>
      <c r="CE136" s="258"/>
      <c r="CF136" s="258"/>
      <c r="CG136" s="258"/>
      <c r="CH136" s="258"/>
      <c r="CI136" s="258"/>
      <c r="CJ136" s="258"/>
      <c r="CK136" s="258"/>
      <c r="CL136" s="258"/>
      <c r="CM136" s="258"/>
      <c r="CN136" s="258"/>
      <c r="CO136" s="258"/>
      <c r="CP136" s="258"/>
      <c r="CQ136" s="258"/>
      <c r="CR136" s="258"/>
      <c r="CS136" s="258"/>
      <c r="CT136" s="258"/>
      <c r="CU136" s="258"/>
      <c r="CV136" s="258"/>
      <c r="CW136" s="258"/>
      <c r="CX136" s="258"/>
      <c r="CY136" s="258"/>
      <c r="CZ136" s="258"/>
      <c r="DA136" s="258"/>
      <c r="DB136" s="258"/>
      <c r="DC136" s="258"/>
      <c r="DD136" s="258"/>
      <c r="DE136" s="258"/>
      <c r="DF136" s="258"/>
      <c r="DG136" s="258"/>
      <c r="DH136" s="258"/>
      <c r="DI136" s="258"/>
      <c r="DJ136" s="258"/>
      <c r="DK136" s="258"/>
      <c r="DL136" s="258"/>
      <c r="DM136" s="258"/>
      <c r="DN136" s="258"/>
      <c r="DO136" s="258"/>
      <c r="DP136" s="258"/>
      <c r="DQ136" s="258"/>
      <c r="DR136" s="258"/>
      <c r="DS136" s="258"/>
      <c r="DT136" s="258"/>
      <c r="DU136" s="258"/>
      <c r="DV136" s="258"/>
      <c r="DW136" s="258"/>
      <c r="DX136" s="258"/>
      <c r="DY136" s="258"/>
      <c r="DZ136" s="258"/>
      <c r="EA136" s="258"/>
      <c r="EB136" s="258"/>
      <c r="EC136" s="258"/>
      <c r="ED136" s="258"/>
      <c r="EE136" s="258"/>
      <c r="EF136" s="258"/>
      <c r="EG136" s="258"/>
      <c r="EH136" s="258"/>
      <c r="EI136" s="258"/>
      <c r="EJ136" s="258"/>
      <c r="EK136" s="258"/>
      <c r="EL136" s="258"/>
      <c r="EM136" s="258"/>
      <c r="EN136" s="258"/>
      <c r="EO136" s="258"/>
      <c r="EP136" s="258"/>
      <c r="EQ136" s="258"/>
      <c r="ER136" s="258"/>
      <c r="ES136" s="258"/>
      <c r="ET136" s="258"/>
      <c r="EU136" s="258"/>
      <c r="EV136" s="258"/>
      <c r="EW136" s="258"/>
      <c r="EX136" s="258"/>
      <c r="EY136" s="258"/>
      <c r="EZ136" s="258"/>
      <c r="FA136" s="258"/>
      <c r="FB136" s="258"/>
      <c r="FC136" s="258"/>
      <c r="FD136" s="258"/>
      <c r="FE136" s="258"/>
      <c r="FF136" s="258"/>
      <c r="FG136" s="258"/>
      <c r="FH136" s="258"/>
      <c r="FI136" s="258"/>
      <c r="FJ136" s="258"/>
      <c r="FK136" s="258"/>
      <c r="FL136" s="258"/>
      <c r="FM136" s="258"/>
      <c r="FN136" s="258"/>
      <c r="FO136" s="258"/>
      <c r="FP136" s="258"/>
      <c r="FQ136" s="258"/>
      <c r="FR136" s="258"/>
      <c r="FS136" s="258"/>
      <c r="FT136" s="258"/>
      <c r="FU136" s="258"/>
      <c r="FV136" s="258"/>
      <c r="FW136" s="258"/>
      <c r="FX136" s="258"/>
      <c r="FY136" s="258"/>
      <c r="FZ136" s="258"/>
      <c r="GA136" s="258"/>
      <c r="GB136" s="258"/>
      <c r="GC136" s="258"/>
      <c r="GD136" s="258"/>
      <c r="GE136" s="258"/>
      <c r="GF136" s="258"/>
      <c r="GG136" s="258"/>
      <c r="GH136" s="258"/>
      <c r="GI136" s="258"/>
      <c r="GJ136" s="258"/>
      <c r="GK136" s="258"/>
      <c r="GL136" s="258"/>
      <c r="GM136" s="258"/>
      <c r="GN136" s="258"/>
      <c r="GO136" s="258"/>
      <c r="GP136" s="258"/>
      <c r="GQ136" s="258"/>
      <c r="GR136" s="258"/>
      <c r="GS136" s="258"/>
      <c r="GT136" s="258"/>
      <c r="GU136" s="258"/>
      <c r="GV136" s="258"/>
      <c r="GW136" s="258"/>
      <c r="GX136" s="258"/>
      <c r="GY136" s="258"/>
      <c r="GZ136" s="258"/>
      <c r="HA136" s="258"/>
      <c r="HB136" s="258"/>
      <c r="HC136" s="258"/>
      <c r="HD136" s="258"/>
      <c r="HE136" s="258"/>
      <c r="HF136" s="258"/>
      <c r="HG136" s="258"/>
      <c r="HH136" s="258"/>
      <c r="HI136" s="258"/>
      <c r="HJ136" s="258"/>
      <c r="HK136" s="258"/>
      <c r="HL136" s="258"/>
      <c r="HM136" s="258"/>
      <c r="HN136" s="258"/>
      <c r="HO136" s="258"/>
      <c r="HP136" s="258"/>
      <c r="HQ136" s="258"/>
      <c r="HR136" s="258"/>
      <c r="HS136" s="258"/>
      <c r="HT136" s="258"/>
      <c r="HU136" s="258"/>
      <c r="HV136" s="258"/>
      <c r="HW136" s="258"/>
      <c r="HX136" s="258"/>
      <c r="HY136" s="258"/>
      <c r="HZ136" s="258"/>
      <c r="IA136" s="258"/>
      <c r="IB136" s="258"/>
      <c r="IC136" s="258"/>
      <c r="ID136" s="258"/>
      <c r="IE136" s="258"/>
      <c r="IF136" s="258"/>
      <c r="IG136" s="258"/>
      <c r="IH136" s="258"/>
      <c r="II136" s="258"/>
      <c r="IJ136" s="258"/>
      <c r="IK136" s="258"/>
      <c r="IL136" s="258"/>
      <c r="IM136" s="258"/>
      <c r="IN136" s="258"/>
      <c r="IO136" s="258"/>
      <c r="IP136" s="258"/>
      <c r="IQ136" s="258"/>
      <c r="IR136" s="258"/>
      <c r="IS136" s="258"/>
      <c r="IT136" s="258"/>
      <c r="IU136" s="258"/>
      <c r="IV136" s="258"/>
      <c r="IW136" s="258"/>
    </row>
    <row r="137" spans="2:257" s="262" customFormat="1" x14ac:dyDescent="0.25">
      <c r="B137" s="278"/>
      <c r="C137" s="278"/>
      <c r="D137" s="281"/>
      <c r="E137" s="281"/>
      <c r="F137" s="281"/>
      <c r="G137" s="281"/>
      <c r="H137" s="281"/>
      <c r="I137" s="281"/>
      <c r="J137" s="281"/>
      <c r="K137" s="281"/>
      <c r="L137" s="281"/>
      <c r="M137" s="281"/>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c r="BM137" s="258"/>
      <c r="BN137" s="258"/>
      <c r="BO137" s="258"/>
      <c r="BP137" s="258"/>
      <c r="BQ137" s="258"/>
      <c r="BR137" s="258"/>
      <c r="BS137" s="258"/>
      <c r="BT137" s="258"/>
      <c r="BU137" s="258"/>
      <c r="BV137" s="258"/>
      <c r="BW137" s="258"/>
      <c r="BX137" s="258"/>
      <c r="BY137" s="258"/>
      <c r="BZ137" s="258"/>
      <c r="CA137" s="258"/>
      <c r="CB137" s="258"/>
      <c r="CC137" s="258"/>
      <c r="CD137" s="258"/>
      <c r="CE137" s="258"/>
      <c r="CF137" s="258"/>
      <c r="CG137" s="258"/>
      <c r="CH137" s="258"/>
      <c r="CI137" s="258"/>
      <c r="CJ137" s="258"/>
      <c r="CK137" s="258"/>
      <c r="CL137" s="258"/>
      <c r="CM137" s="258"/>
      <c r="CN137" s="258"/>
      <c r="CO137" s="258"/>
      <c r="CP137" s="258"/>
      <c r="CQ137" s="258"/>
      <c r="CR137" s="258"/>
      <c r="CS137" s="258"/>
      <c r="CT137" s="258"/>
      <c r="CU137" s="258"/>
      <c r="CV137" s="258"/>
      <c r="CW137" s="258"/>
      <c r="CX137" s="258"/>
      <c r="CY137" s="258"/>
      <c r="CZ137" s="258"/>
      <c r="DA137" s="258"/>
      <c r="DB137" s="258"/>
      <c r="DC137" s="258"/>
      <c r="DD137" s="258"/>
      <c r="DE137" s="258"/>
      <c r="DF137" s="258"/>
      <c r="DG137" s="258"/>
      <c r="DH137" s="258"/>
      <c r="DI137" s="258"/>
      <c r="DJ137" s="258"/>
      <c r="DK137" s="258"/>
      <c r="DL137" s="258"/>
      <c r="DM137" s="258"/>
      <c r="DN137" s="258"/>
      <c r="DO137" s="258"/>
      <c r="DP137" s="258"/>
      <c r="DQ137" s="258"/>
      <c r="DR137" s="258"/>
      <c r="DS137" s="258"/>
      <c r="DT137" s="258"/>
      <c r="DU137" s="258"/>
      <c r="DV137" s="258"/>
      <c r="DW137" s="258"/>
      <c r="DX137" s="258"/>
      <c r="DY137" s="258"/>
      <c r="DZ137" s="258"/>
      <c r="EA137" s="258"/>
      <c r="EB137" s="258"/>
      <c r="EC137" s="258"/>
      <c r="ED137" s="258"/>
      <c r="EE137" s="258"/>
      <c r="EF137" s="258"/>
      <c r="EG137" s="258"/>
      <c r="EH137" s="258"/>
      <c r="EI137" s="258"/>
      <c r="EJ137" s="258"/>
      <c r="EK137" s="258"/>
      <c r="EL137" s="258"/>
      <c r="EM137" s="258"/>
      <c r="EN137" s="258"/>
      <c r="EO137" s="258"/>
      <c r="EP137" s="258"/>
      <c r="EQ137" s="258"/>
      <c r="ER137" s="258"/>
      <c r="ES137" s="258"/>
      <c r="ET137" s="258"/>
      <c r="EU137" s="258"/>
      <c r="EV137" s="258"/>
      <c r="EW137" s="258"/>
      <c r="EX137" s="258"/>
      <c r="EY137" s="258"/>
      <c r="EZ137" s="258"/>
      <c r="FA137" s="258"/>
      <c r="FB137" s="258"/>
      <c r="FC137" s="258"/>
      <c r="FD137" s="258"/>
      <c r="FE137" s="258"/>
      <c r="FF137" s="258"/>
      <c r="FG137" s="258"/>
      <c r="FH137" s="258"/>
      <c r="FI137" s="258"/>
      <c r="FJ137" s="258"/>
      <c r="FK137" s="258"/>
      <c r="FL137" s="258"/>
      <c r="FM137" s="258"/>
      <c r="FN137" s="258"/>
      <c r="FO137" s="258"/>
      <c r="FP137" s="258"/>
      <c r="FQ137" s="258"/>
      <c r="FR137" s="258"/>
      <c r="FS137" s="258"/>
      <c r="FT137" s="258"/>
      <c r="FU137" s="258"/>
      <c r="FV137" s="258"/>
      <c r="FW137" s="258"/>
      <c r="FX137" s="258"/>
      <c r="FY137" s="258"/>
      <c r="FZ137" s="258"/>
      <c r="GA137" s="258"/>
      <c r="GB137" s="258"/>
      <c r="GC137" s="258"/>
      <c r="GD137" s="258"/>
      <c r="GE137" s="258"/>
      <c r="GF137" s="258"/>
      <c r="GG137" s="258"/>
      <c r="GH137" s="258"/>
      <c r="GI137" s="258"/>
      <c r="GJ137" s="258"/>
      <c r="GK137" s="258"/>
      <c r="GL137" s="258"/>
      <c r="GM137" s="258"/>
      <c r="GN137" s="258"/>
      <c r="GO137" s="258"/>
      <c r="GP137" s="258"/>
      <c r="GQ137" s="258"/>
      <c r="GR137" s="258"/>
      <c r="GS137" s="258"/>
      <c r="GT137" s="258"/>
      <c r="GU137" s="258"/>
      <c r="GV137" s="258"/>
      <c r="GW137" s="258"/>
      <c r="GX137" s="258"/>
      <c r="GY137" s="258"/>
      <c r="GZ137" s="258"/>
      <c r="HA137" s="258"/>
      <c r="HB137" s="258"/>
      <c r="HC137" s="258"/>
      <c r="HD137" s="258"/>
      <c r="HE137" s="258"/>
      <c r="HF137" s="258"/>
      <c r="HG137" s="258"/>
      <c r="HH137" s="258"/>
      <c r="HI137" s="258"/>
      <c r="HJ137" s="258"/>
      <c r="HK137" s="258"/>
      <c r="HL137" s="258"/>
      <c r="HM137" s="258"/>
      <c r="HN137" s="258"/>
      <c r="HO137" s="258"/>
      <c r="HP137" s="258"/>
      <c r="HQ137" s="258"/>
      <c r="HR137" s="258"/>
      <c r="HS137" s="258"/>
      <c r="HT137" s="258"/>
      <c r="HU137" s="258"/>
      <c r="HV137" s="258"/>
      <c r="HW137" s="258"/>
      <c r="HX137" s="258"/>
      <c r="HY137" s="258"/>
      <c r="HZ137" s="258"/>
      <c r="IA137" s="258"/>
      <c r="IB137" s="258"/>
      <c r="IC137" s="258"/>
      <c r="ID137" s="258"/>
      <c r="IE137" s="258"/>
      <c r="IF137" s="258"/>
      <c r="IG137" s="258"/>
      <c r="IH137" s="258"/>
      <c r="II137" s="258"/>
      <c r="IJ137" s="258"/>
      <c r="IK137" s="258"/>
      <c r="IL137" s="258"/>
      <c r="IM137" s="258"/>
      <c r="IN137" s="258"/>
      <c r="IO137" s="258"/>
      <c r="IP137" s="258"/>
      <c r="IQ137" s="258"/>
      <c r="IR137" s="258"/>
      <c r="IS137" s="258"/>
      <c r="IT137" s="258"/>
      <c r="IU137" s="258"/>
      <c r="IV137" s="258"/>
      <c r="IW137" s="258"/>
    </row>
    <row r="138" spans="2:257" s="262" customFormat="1" x14ac:dyDescent="0.25">
      <c r="B138" s="278"/>
      <c r="C138" s="278"/>
      <c r="D138" s="281"/>
      <c r="E138" s="281"/>
      <c r="F138" s="281"/>
      <c r="G138" s="281"/>
      <c r="H138" s="281"/>
      <c r="I138" s="281"/>
      <c r="J138" s="281"/>
      <c r="K138" s="281"/>
      <c r="L138" s="281"/>
      <c r="M138" s="281"/>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c r="BM138" s="258"/>
      <c r="BN138" s="258"/>
      <c r="BO138" s="258"/>
      <c r="BP138" s="258"/>
      <c r="BQ138" s="258"/>
      <c r="BR138" s="258"/>
      <c r="BS138" s="258"/>
      <c r="BT138" s="258"/>
      <c r="BU138" s="258"/>
      <c r="BV138" s="258"/>
      <c r="BW138" s="258"/>
      <c r="BX138" s="258"/>
      <c r="BY138" s="258"/>
      <c r="BZ138" s="258"/>
      <c r="CA138" s="258"/>
      <c r="CB138" s="258"/>
      <c r="CC138" s="258"/>
      <c r="CD138" s="258"/>
      <c r="CE138" s="258"/>
      <c r="CF138" s="258"/>
      <c r="CG138" s="258"/>
      <c r="CH138" s="258"/>
      <c r="CI138" s="258"/>
      <c r="CJ138" s="258"/>
      <c r="CK138" s="258"/>
      <c r="CL138" s="258"/>
      <c r="CM138" s="258"/>
      <c r="CN138" s="258"/>
      <c r="CO138" s="258"/>
      <c r="CP138" s="258"/>
      <c r="CQ138" s="258"/>
      <c r="CR138" s="258"/>
      <c r="CS138" s="258"/>
      <c r="CT138" s="258"/>
      <c r="CU138" s="258"/>
      <c r="CV138" s="258"/>
      <c r="CW138" s="258"/>
      <c r="CX138" s="258"/>
      <c r="CY138" s="258"/>
      <c r="CZ138" s="258"/>
      <c r="DA138" s="258"/>
      <c r="DB138" s="258"/>
      <c r="DC138" s="258"/>
      <c r="DD138" s="258"/>
      <c r="DE138" s="258"/>
      <c r="DF138" s="258"/>
      <c r="DG138" s="258"/>
      <c r="DH138" s="258"/>
      <c r="DI138" s="258"/>
      <c r="DJ138" s="258"/>
      <c r="DK138" s="258"/>
      <c r="DL138" s="258"/>
      <c r="DM138" s="258"/>
      <c r="DN138" s="258"/>
      <c r="DO138" s="258"/>
      <c r="DP138" s="258"/>
      <c r="DQ138" s="258"/>
      <c r="DR138" s="258"/>
      <c r="DS138" s="258"/>
      <c r="DT138" s="258"/>
      <c r="DU138" s="258"/>
      <c r="DV138" s="258"/>
      <c r="DW138" s="258"/>
      <c r="DX138" s="258"/>
      <c r="DY138" s="258"/>
      <c r="DZ138" s="258"/>
      <c r="EA138" s="258"/>
      <c r="EB138" s="258"/>
      <c r="EC138" s="258"/>
      <c r="ED138" s="258"/>
      <c r="EE138" s="258"/>
      <c r="EF138" s="258"/>
      <c r="EG138" s="258"/>
      <c r="EH138" s="258"/>
      <c r="EI138" s="258"/>
      <c r="EJ138" s="258"/>
      <c r="EK138" s="258"/>
      <c r="EL138" s="258"/>
      <c r="EM138" s="258"/>
      <c r="EN138" s="258"/>
      <c r="EO138" s="258"/>
      <c r="EP138" s="258"/>
      <c r="EQ138" s="258"/>
      <c r="ER138" s="258"/>
      <c r="ES138" s="258"/>
      <c r="ET138" s="258"/>
      <c r="EU138" s="258"/>
      <c r="EV138" s="258"/>
      <c r="EW138" s="258"/>
      <c r="EX138" s="258"/>
      <c r="EY138" s="258"/>
      <c r="EZ138" s="258"/>
      <c r="FA138" s="258"/>
      <c r="FB138" s="258"/>
      <c r="FC138" s="258"/>
      <c r="FD138" s="258"/>
      <c r="FE138" s="258"/>
      <c r="FF138" s="258"/>
      <c r="FG138" s="258"/>
      <c r="FH138" s="258"/>
      <c r="FI138" s="258"/>
      <c r="FJ138" s="258"/>
      <c r="FK138" s="258"/>
      <c r="FL138" s="258"/>
      <c r="FM138" s="258"/>
      <c r="FN138" s="258"/>
      <c r="FO138" s="258"/>
      <c r="FP138" s="258"/>
      <c r="FQ138" s="258"/>
      <c r="FR138" s="258"/>
      <c r="FS138" s="258"/>
      <c r="FT138" s="258"/>
      <c r="FU138" s="258"/>
      <c r="FV138" s="258"/>
      <c r="FW138" s="258"/>
      <c r="FX138" s="258"/>
      <c r="FY138" s="258"/>
      <c r="FZ138" s="258"/>
      <c r="GA138" s="258"/>
      <c r="GB138" s="258"/>
      <c r="GC138" s="258"/>
      <c r="GD138" s="258"/>
      <c r="GE138" s="258"/>
      <c r="GF138" s="258"/>
      <c r="GG138" s="258"/>
      <c r="GH138" s="258"/>
      <c r="GI138" s="258"/>
      <c r="GJ138" s="258"/>
      <c r="GK138" s="258"/>
      <c r="GL138" s="258"/>
      <c r="GM138" s="258"/>
      <c r="GN138" s="258"/>
      <c r="GO138" s="258"/>
      <c r="GP138" s="258"/>
      <c r="GQ138" s="258"/>
      <c r="GR138" s="258"/>
      <c r="GS138" s="258"/>
      <c r="GT138" s="258"/>
      <c r="GU138" s="258"/>
      <c r="GV138" s="258"/>
      <c r="GW138" s="258"/>
      <c r="GX138" s="258"/>
      <c r="GY138" s="258"/>
      <c r="GZ138" s="258"/>
      <c r="HA138" s="258"/>
      <c r="HB138" s="258"/>
      <c r="HC138" s="258"/>
      <c r="HD138" s="258"/>
      <c r="HE138" s="258"/>
      <c r="HF138" s="258"/>
      <c r="HG138" s="258"/>
      <c r="HH138" s="258"/>
      <c r="HI138" s="258"/>
      <c r="HJ138" s="258"/>
      <c r="HK138" s="258"/>
      <c r="HL138" s="258"/>
      <c r="HM138" s="258"/>
      <c r="HN138" s="258"/>
      <c r="HO138" s="258"/>
      <c r="HP138" s="258"/>
      <c r="HQ138" s="258"/>
      <c r="HR138" s="258"/>
      <c r="HS138" s="258"/>
      <c r="HT138" s="258"/>
      <c r="HU138" s="258"/>
      <c r="HV138" s="258"/>
      <c r="HW138" s="258"/>
      <c r="HX138" s="258"/>
      <c r="HY138" s="258"/>
      <c r="HZ138" s="258"/>
      <c r="IA138" s="258"/>
      <c r="IB138" s="258"/>
      <c r="IC138" s="258"/>
      <c r="ID138" s="258"/>
      <c r="IE138" s="258"/>
      <c r="IF138" s="258"/>
      <c r="IG138" s="258"/>
      <c r="IH138" s="258"/>
      <c r="II138" s="258"/>
      <c r="IJ138" s="258"/>
      <c r="IK138" s="258"/>
      <c r="IL138" s="258"/>
      <c r="IM138" s="258"/>
      <c r="IN138" s="258"/>
      <c r="IO138" s="258"/>
      <c r="IP138" s="258"/>
      <c r="IQ138" s="258"/>
      <c r="IR138" s="258"/>
      <c r="IS138" s="258"/>
      <c r="IT138" s="258"/>
      <c r="IU138" s="258"/>
      <c r="IV138" s="258"/>
      <c r="IW138" s="258"/>
    </row>
    <row r="139" spans="2:257" s="262" customFormat="1" x14ac:dyDescent="0.25">
      <c r="B139" s="278"/>
      <c r="C139" s="278"/>
      <c r="D139" s="281"/>
      <c r="E139" s="281"/>
      <c r="F139" s="281"/>
      <c r="G139" s="281"/>
      <c r="H139" s="281"/>
      <c r="I139" s="281"/>
      <c r="J139" s="281"/>
      <c r="K139" s="281"/>
      <c r="L139" s="281"/>
      <c r="M139" s="281"/>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c r="BM139" s="258"/>
      <c r="BN139" s="258"/>
      <c r="BO139" s="258"/>
      <c r="BP139" s="258"/>
      <c r="BQ139" s="258"/>
      <c r="BR139" s="258"/>
      <c r="BS139" s="258"/>
      <c r="BT139" s="258"/>
      <c r="BU139" s="258"/>
      <c r="BV139" s="258"/>
      <c r="BW139" s="258"/>
      <c r="BX139" s="258"/>
      <c r="BY139" s="258"/>
      <c r="BZ139" s="258"/>
      <c r="CA139" s="258"/>
      <c r="CB139" s="258"/>
      <c r="CC139" s="258"/>
      <c r="CD139" s="258"/>
      <c r="CE139" s="258"/>
      <c r="CF139" s="258"/>
      <c r="CG139" s="258"/>
      <c r="CH139" s="258"/>
      <c r="CI139" s="258"/>
      <c r="CJ139" s="258"/>
      <c r="CK139" s="258"/>
      <c r="CL139" s="258"/>
      <c r="CM139" s="258"/>
      <c r="CN139" s="258"/>
      <c r="CO139" s="258"/>
      <c r="CP139" s="258"/>
      <c r="CQ139" s="258"/>
      <c r="CR139" s="258"/>
      <c r="CS139" s="258"/>
      <c r="CT139" s="258"/>
      <c r="CU139" s="258"/>
      <c r="CV139" s="258"/>
      <c r="CW139" s="258"/>
      <c r="CX139" s="258"/>
      <c r="CY139" s="258"/>
      <c r="CZ139" s="258"/>
      <c r="DA139" s="258"/>
      <c r="DB139" s="258"/>
      <c r="DC139" s="258"/>
      <c r="DD139" s="258"/>
      <c r="DE139" s="258"/>
      <c r="DF139" s="258"/>
      <c r="DG139" s="258"/>
      <c r="DH139" s="258"/>
      <c r="DI139" s="258"/>
      <c r="DJ139" s="258"/>
      <c r="DK139" s="258"/>
      <c r="DL139" s="258"/>
      <c r="DM139" s="258"/>
      <c r="DN139" s="258"/>
      <c r="DO139" s="258"/>
      <c r="DP139" s="258"/>
      <c r="DQ139" s="258"/>
      <c r="DR139" s="258"/>
      <c r="DS139" s="258"/>
      <c r="DT139" s="258"/>
      <c r="DU139" s="258"/>
      <c r="DV139" s="258"/>
      <c r="DW139" s="258"/>
      <c r="DX139" s="258"/>
      <c r="DY139" s="258"/>
      <c r="DZ139" s="258"/>
      <c r="EA139" s="258"/>
      <c r="EB139" s="258"/>
      <c r="EC139" s="258"/>
      <c r="ED139" s="258"/>
      <c r="EE139" s="258"/>
      <c r="EF139" s="258"/>
      <c r="EG139" s="258"/>
      <c r="EH139" s="258"/>
      <c r="EI139" s="258"/>
      <c r="EJ139" s="258"/>
      <c r="EK139" s="258"/>
      <c r="EL139" s="258"/>
      <c r="EM139" s="258"/>
      <c r="EN139" s="258"/>
      <c r="EO139" s="258"/>
      <c r="EP139" s="258"/>
      <c r="EQ139" s="258"/>
      <c r="ER139" s="258"/>
      <c r="ES139" s="258"/>
      <c r="ET139" s="258"/>
      <c r="EU139" s="258"/>
      <c r="EV139" s="258"/>
      <c r="EW139" s="258"/>
      <c r="EX139" s="258"/>
      <c r="EY139" s="258"/>
      <c r="EZ139" s="258"/>
      <c r="FA139" s="258"/>
      <c r="FB139" s="258"/>
      <c r="FC139" s="258"/>
      <c r="FD139" s="258"/>
      <c r="FE139" s="258"/>
      <c r="FF139" s="258"/>
      <c r="FG139" s="258"/>
      <c r="FH139" s="258"/>
      <c r="FI139" s="258"/>
      <c r="FJ139" s="258"/>
      <c r="FK139" s="258"/>
      <c r="FL139" s="258"/>
      <c r="FM139" s="258"/>
      <c r="FN139" s="258"/>
      <c r="FO139" s="258"/>
      <c r="FP139" s="258"/>
      <c r="FQ139" s="258"/>
      <c r="FR139" s="258"/>
      <c r="FS139" s="258"/>
      <c r="FT139" s="258"/>
      <c r="FU139" s="258"/>
      <c r="FV139" s="258"/>
      <c r="FW139" s="258"/>
      <c r="FX139" s="258"/>
      <c r="FY139" s="258"/>
      <c r="FZ139" s="258"/>
      <c r="GA139" s="258"/>
      <c r="GB139" s="258"/>
      <c r="GC139" s="258"/>
      <c r="GD139" s="258"/>
      <c r="GE139" s="258"/>
      <c r="GF139" s="258"/>
      <c r="GG139" s="258"/>
      <c r="GH139" s="258"/>
      <c r="GI139" s="258"/>
      <c r="GJ139" s="258"/>
      <c r="GK139" s="258"/>
      <c r="GL139" s="258"/>
      <c r="GM139" s="258"/>
      <c r="GN139" s="258"/>
      <c r="GO139" s="258"/>
      <c r="GP139" s="258"/>
      <c r="GQ139" s="258"/>
      <c r="GR139" s="258"/>
      <c r="GS139" s="258"/>
      <c r="GT139" s="258"/>
      <c r="GU139" s="258"/>
      <c r="GV139" s="258"/>
      <c r="GW139" s="258"/>
      <c r="GX139" s="258"/>
      <c r="GY139" s="258"/>
      <c r="GZ139" s="258"/>
      <c r="HA139" s="258"/>
      <c r="HB139" s="258"/>
      <c r="HC139" s="258"/>
      <c r="HD139" s="258"/>
      <c r="HE139" s="258"/>
      <c r="HF139" s="258"/>
      <c r="HG139" s="258"/>
      <c r="HH139" s="258"/>
      <c r="HI139" s="258"/>
      <c r="HJ139" s="258"/>
      <c r="HK139" s="258"/>
      <c r="HL139" s="258"/>
      <c r="HM139" s="258"/>
      <c r="HN139" s="258"/>
      <c r="HO139" s="258"/>
      <c r="HP139" s="258"/>
      <c r="HQ139" s="258"/>
      <c r="HR139" s="258"/>
      <c r="HS139" s="258"/>
      <c r="HT139" s="258"/>
      <c r="HU139" s="258"/>
      <c r="HV139" s="258"/>
      <c r="HW139" s="258"/>
      <c r="HX139" s="258"/>
      <c r="HY139" s="258"/>
      <c r="HZ139" s="258"/>
      <c r="IA139" s="258"/>
      <c r="IB139" s="258"/>
      <c r="IC139" s="258"/>
      <c r="ID139" s="258"/>
      <c r="IE139" s="258"/>
      <c r="IF139" s="258"/>
      <c r="IG139" s="258"/>
      <c r="IH139" s="258"/>
      <c r="II139" s="258"/>
      <c r="IJ139" s="258"/>
      <c r="IK139" s="258"/>
      <c r="IL139" s="258"/>
      <c r="IM139" s="258"/>
      <c r="IN139" s="258"/>
      <c r="IO139" s="258"/>
      <c r="IP139" s="258"/>
      <c r="IQ139" s="258"/>
      <c r="IR139" s="258"/>
      <c r="IS139" s="258"/>
      <c r="IT139" s="258"/>
      <c r="IU139" s="258"/>
      <c r="IV139" s="258"/>
      <c r="IW139" s="258"/>
    </row>
    <row r="140" spans="2:257" s="262" customFormat="1" x14ac:dyDescent="0.25">
      <c r="B140" s="278"/>
      <c r="C140" s="278"/>
      <c r="D140" s="281"/>
      <c r="E140" s="281"/>
      <c r="F140" s="281"/>
      <c r="G140" s="281"/>
      <c r="H140" s="281"/>
      <c r="I140" s="281"/>
      <c r="J140" s="281"/>
      <c r="K140" s="281"/>
      <c r="L140" s="281"/>
      <c r="M140" s="281"/>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c r="BM140" s="258"/>
      <c r="BN140" s="258"/>
      <c r="BO140" s="258"/>
      <c r="BP140" s="258"/>
      <c r="BQ140" s="258"/>
      <c r="BR140" s="258"/>
      <c r="BS140" s="258"/>
      <c r="BT140" s="258"/>
      <c r="BU140" s="258"/>
      <c r="BV140" s="258"/>
      <c r="BW140" s="258"/>
      <c r="BX140" s="258"/>
      <c r="BY140" s="258"/>
      <c r="BZ140" s="258"/>
      <c r="CA140" s="258"/>
      <c r="CB140" s="258"/>
      <c r="CC140" s="258"/>
      <c r="CD140" s="258"/>
      <c r="CE140" s="258"/>
      <c r="CF140" s="258"/>
      <c r="CG140" s="258"/>
      <c r="CH140" s="258"/>
      <c r="CI140" s="258"/>
      <c r="CJ140" s="258"/>
      <c r="CK140" s="258"/>
      <c r="CL140" s="258"/>
      <c r="CM140" s="258"/>
      <c r="CN140" s="258"/>
      <c r="CO140" s="258"/>
      <c r="CP140" s="258"/>
      <c r="CQ140" s="258"/>
      <c r="CR140" s="258"/>
      <c r="CS140" s="258"/>
      <c r="CT140" s="258"/>
      <c r="CU140" s="258"/>
      <c r="CV140" s="258"/>
      <c r="CW140" s="258"/>
      <c r="CX140" s="258"/>
      <c r="CY140" s="258"/>
      <c r="CZ140" s="258"/>
      <c r="DA140" s="258"/>
      <c r="DB140" s="258"/>
      <c r="DC140" s="258"/>
      <c r="DD140" s="258"/>
      <c r="DE140" s="258"/>
      <c r="DF140" s="258"/>
      <c r="DG140" s="258"/>
      <c r="DH140" s="258"/>
      <c r="DI140" s="258"/>
      <c r="DJ140" s="258"/>
      <c r="DK140" s="258"/>
      <c r="DL140" s="258"/>
      <c r="DM140" s="258"/>
      <c r="DN140" s="258"/>
      <c r="DO140" s="258"/>
      <c r="DP140" s="258"/>
      <c r="DQ140" s="258"/>
      <c r="DR140" s="258"/>
      <c r="DS140" s="258"/>
      <c r="DT140" s="258"/>
      <c r="DU140" s="258"/>
      <c r="DV140" s="258"/>
      <c r="DW140" s="258"/>
      <c r="DX140" s="258"/>
      <c r="DY140" s="258"/>
      <c r="DZ140" s="258"/>
      <c r="EA140" s="258"/>
      <c r="EB140" s="258"/>
      <c r="EC140" s="258"/>
      <c r="ED140" s="258"/>
      <c r="EE140" s="258"/>
      <c r="EF140" s="258"/>
      <c r="EG140" s="258"/>
      <c r="EH140" s="258"/>
      <c r="EI140" s="258"/>
      <c r="EJ140" s="258"/>
      <c r="EK140" s="258"/>
      <c r="EL140" s="258"/>
      <c r="EM140" s="258"/>
      <c r="EN140" s="258"/>
      <c r="EO140" s="258"/>
      <c r="EP140" s="258"/>
      <c r="EQ140" s="258"/>
      <c r="ER140" s="258"/>
      <c r="ES140" s="258"/>
      <c r="ET140" s="258"/>
      <c r="EU140" s="258"/>
      <c r="EV140" s="258"/>
      <c r="EW140" s="258"/>
      <c r="EX140" s="258"/>
      <c r="EY140" s="258"/>
      <c r="EZ140" s="258"/>
      <c r="FA140" s="258"/>
      <c r="FB140" s="258"/>
      <c r="FC140" s="258"/>
      <c r="FD140" s="258"/>
      <c r="FE140" s="258"/>
      <c r="FF140" s="258"/>
      <c r="FG140" s="258"/>
      <c r="FH140" s="258"/>
      <c r="FI140" s="258"/>
      <c r="FJ140" s="258"/>
      <c r="FK140" s="258"/>
      <c r="FL140" s="258"/>
      <c r="FM140" s="258"/>
      <c r="FN140" s="258"/>
      <c r="FO140" s="258"/>
      <c r="FP140" s="258"/>
      <c r="FQ140" s="258"/>
      <c r="FR140" s="258"/>
      <c r="FS140" s="258"/>
      <c r="FT140" s="258"/>
      <c r="FU140" s="258"/>
      <c r="FV140" s="258"/>
      <c r="FW140" s="258"/>
      <c r="FX140" s="258"/>
      <c r="FY140" s="258"/>
      <c r="FZ140" s="258"/>
      <c r="GA140" s="258"/>
      <c r="GB140" s="258"/>
      <c r="GC140" s="258"/>
      <c r="GD140" s="258"/>
      <c r="GE140" s="258"/>
      <c r="GF140" s="258"/>
      <c r="GG140" s="258"/>
      <c r="GH140" s="258"/>
      <c r="GI140" s="258"/>
      <c r="GJ140" s="258"/>
      <c r="GK140" s="258"/>
      <c r="GL140" s="258"/>
      <c r="GM140" s="258"/>
      <c r="GN140" s="258"/>
      <c r="GO140" s="258"/>
      <c r="GP140" s="258"/>
      <c r="GQ140" s="258"/>
      <c r="GR140" s="258"/>
      <c r="GS140" s="258"/>
      <c r="GT140" s="258"/>
      <c r="GU140" s="258"/>
      <c r="GV140" s="258"/>
      <c r="GW140" s="258"/>
      <c r="GX140" s="258"/>
      <c r="GY140" s="258"/>
      <c r="GZ140" s="258"/>
      <c r="HA140" s="258"/>
      <c r="HB140" s="258"/>
      <c r="HC140" s="258"/>
      <c r="HD140" s="258"/>
      <c r="HE140" s="258"/>
      <c r="HF140" s="258"/>
      <c r="HG140" s="258"/>
      <c r="HH140" s="258"/>
      <c r="HI140" s="258"/>
      <c r="HJ140" s="258"/>
      <c r="HK140" s="258"/>
      <c r="HL140" s="258"/>
      <c r="HM140" s="258"/>
      <c r="HN140" s="258"/>
      <c r="HO140" s="258"/>
      <c r="HP140" s="258"/>
      <c r="HQ140" s="258"/>
      <c r="HR140" s="258"/>
      <c r="HS140" s="258"/>
      <c r="HT140" s="258"/>
      <c r="HU140" s="258"/>
      <c r="HV140" s="258"/>
      <c r="HW140" s="258"/>
      <c r="HX140" s="258"/>
      <c r="HY140" s="258"/>
      <c r="HZ140" s="258"/>
      <c r="IA140" s="258"/>
      <c r="IB140" s="258"/>
      <c r="IC140" s="258"/>
      <c r="ID140" s="258"/>
      <c r="IE140" s="258"/>
      <c r="IF140" s="258"/>
      <c r="IG140" s="258"/>
      <c r="IH140" s="258"/>
      <c r="II140" s="258"/>
      <c r="IJ140" s="258"/>
      <c r="IK140" s="258"/>
      <c r="IL140" s="258"/>
      <c r="IM140" s="258"/>
      <c r="IN140" s="258"/>
      <c r="IO140" s="258"/>
      <c r="IP140" s="258"/>
      <c r="IQ140" s="258"/>
      <c r="IR140" s="258"/>
      <c r="IS140" s="258"/>
      <c r="IT140" s="258"/>
      <c r="IU140" s="258"/>
      <c r="IV140" s="258"/>
      <c r="IW140" s="258"/>
    </row>
    <row r="141" spans="2:257" s="262" customFormat="1" x14ac:dyDescent="0.25">
      <c r="B141" s="278"/>
      <c r="C141" s="278"/>
      <c r="D141" s="281"/>
      <c r="E141" s="281"/>
      <c r="F141" s="281"/>
      <c r="G141" s="281"/>
      <c r="H141" s="281"/>
      <c r="I141" s="281"/>
      <c r="J141" s="281"/>
      <c r="K141" s="281"/>
      <c r="L141" s="281"/>
      <c r="M141" s="281"/>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c r="BM141" s="258"/>
      <c r="BN141" s="258"/>
      <c r="BO141" s="258"/>
      <c r="BP141" s="258"/>
      <c r="BQ141" s="258"/>
      <c r="BR141" s="258"/>
      <c r="BS141" s="258"/>
      <c r="BT141" s="258"/>
      <c r="BU141" s="258"/>
      <c r="BV141" s="258"/>
      <c r="BW141" s="258"/>
      <c r="BX141" s="258"/>
      <c r="BY141" s="258"/>
      <c r="BZ141" s="258"/>
      <c r="CA141" s="258"/>
      <c r="CB141" s="258"/>
      <c r="CC141" s="258"/>
      <c r="CD141" s="258"/>
      <c r="CE141" s="258"/>
      <c r="CF141" s="258"/>
      <c r="CG141" s="258"/>
      <c r="CH141" s="258"/>
      <c r="CI141" s="258"/>
      <c r="CJ141" s="258"/>
      <c r="CK141" s="258"/>
      <c r="CL141" s="258"/>
      <c r="CM141" s="258"/>
      <c r="CN141" s="258"/>
      <c r="CO141" s="258"/>
      <c r="CP141" s="258"/>
      <c r="CQ141" s="258"/>
      <c r="CR141" s="258"/>
      <c r="CS141" s="258"/>
      <c r="CT141" s="258"/>
      <c r="CU141" s="258"/>
      <c r="CV141" s="258"/>
      <c r="CW141" s="258"/>
      <c r="CX141" s="258"/>
      <c r="CY141" s="258"/>
      <c r="CZ141" s="258"/>
      <c r="DA141" s="258"/>
      <c r="DB141" s="258"/>
      <c r="DC141" s="258"/>
      <c r="DD141" s="258"/>
      <c r="DE141" s="258"/>
      <c r="DF141" s="258"/>
      <c r="DG141" s="258"/>
      <c r="DH141" s="258"/>
      <c r="DI141" s="258"/>
      <c r="DJ141" s="258"/>
      <c r="DK141" s="258"/>
      <c r="DL141" s="258"/>
      <c r="DM141" s="258"/>
      <c r="DN141" s="258"/>
      <c r="DO141" s="258"/>
      <c r="DP141" s="258"/>
      <c r="DQ141" s="258"/>
      <c r="DR141" s="258"/>
      <c r="DS141" s="258"/>
      <c r="DT141" s="258"/>
      <c r="DU141" s="258"/>
      <c r="DV141" s="258"/>
      <c r="DW141" s="258"/>
      <c r="DX141" s="258"/>
      <c r="DY141" s="258"/>
      <c r="DZ141" s="258"/>
      <c r="EA141" s="258"/>
      <c r="EB141" s="258"/>
      <c r="EC141" s="258"/>
      <c r="ED141" s="258"/>
      <c r="EE141" s="258"/>
      <c r="EF141" s="258"/>
      <c r="EG141" s="258"/>
      <c r="EH141" s="258"/>
      <c r="EI141" s="258"/>
      <c r="EJ141" s="258"/>
      <c r="EK141" s="258"/>
      <c r="EL141" s="258"/>
      <c r="EM141" s="258"/>
      <c r="EN141" s="258"/>
      <c r="EO141" s="258"/>
      <c r="EP141" s="258"/>
      <c r="EQ141" s="258"/>
      <c r="ER141" s="258"/>
      <c r="ES141" s="258"/>
      <c r="ET141" s="258"/>
      <c r="EU141" s="258"/>
      <c r="EV141" s="258"/>
      <c r="EW141" s="258"/>
      <c r="EX141" s="258"/>
      <c r="EY141" s="258"/>
      <c r="EZ141" s="258"/>
      <c r="FA141" s="258"/>
      <c r="FB141" s="258"/>
      <c r="FC141" s="258"/>
      <c r="FD141" s="258"/>
      <c r="FE141" s="258"/>
      <c r="FF141" s="258"/>
      <c r="FG141" s="258"/>
      <c r="FH141" s="258"/>
      <c r="FI141" s="258"/>
      <c r="FJ141" s="258"/>
      <c r="FK141" s="258"/>
      <c r="FL141" s="258"/>
      <c r="FM141" s="258"/>
      <c r="FN141" s="258"/>
      <c r="FO141" s="258"/>
      <c r="FP141" s="258"/>
      <c r="FQ141" s="258"/>
      <c r="FR141" s="258"/>
      <c r="FS141" s="258"/>
      <c r="FT141" s="258"/>
      <c r="FU141" s="258"/>
      <c r="FV141" s="258"/>
      <c r="FW141" s="258"/>
      <c r="FX141" s="258"/>
      <c r="FY141" s="258"/>
      <c r="FZ141" s="258"/>
      <c r="GA141" s="258"/>
      <c r="GB141" s="258"/>
      <c r="GC141" s="258"/>
      <c r="GD141" s="258"/>
      <c r="GE141" s="258"/>
      <c r="GF141" s="258"/>
      <c r="GG141" s="258"/>
      <c r="GH141" s="258"/>
      <c r="GI141" s="258"/>
      <c r="GJ141" s="258"/>
      <c r="GK141" s="258"/>
      <c r="GL141" s="258"/>
      <c r="GM141" s="258"/>
      <c r="GN141" s="258"/>
      <c r="GO141" s="258"/>
      <c r="GP141" s="258"/>
      <c r="GQ141" s="258"/>
      <c r="GR141" s="258"/>
      <c r="GS141" s="258"/>
      <c r="GT141" s="258"/>
      <c r="GU141" s="258"/>
      <c r="GV141" s="258"/>
      <c r="GW141" s="258"/>
      <c r="GX141" s="258"/>
      <c r="GY141" s="258"/>
      <c r="GZ141" s="258"/>
      <c r="HA141" s="258"/>
      <c r="HB141" s="258"/>
      <c r="HC141" s="258"/>
      <c r="HD141" s="258"/>
      <c r="HE141" s="258"/>
      <c r="HF141" s="258"/>
      <c r="HG141" s="258"/>
      <c r="HH141" s="258"/>
      <c r="HI141" s="258"/>
      <c r="HJ141" s="258"/>
      <c r="HK141" s="258"/>
      <c r="HL141" s="258"/>
      <c r="HM141" s="258"/>
      <c r="HN141" s="258"/>
      <c r="HO141" s="258"/>
      <c r="HP141" s="258"/>
      <c r="HQ141" s="258"/>
      <c r="HR141" s="258"/>
      <c r="HS141" s="258"/>
      <c r="HT141" s="258"/>
      <c r="HU141" s="258"/>
      <c r="HV141" s="258"/>
      <c r="HW141" s="258"/>
      <c r="HX141" s="258"/>
      <c r="HY141" s="258"/>
      <c r="HZ141" s="258"/>
      <c r="IA141" s="258"/>
      <c r="IB141" s="258"/>
      <c r="IC141" s="258"/>
      <c r="ID141" s="258"/>
      <c r="IE141" s="258"/>
      <c r="IF141" s="258"/>
      <c r="IG141" s="258"/>
      <c r="IH141" s="258"/>
      <c r="II141" s="258"/>
      <c r="IJ141" s="258"/>
      <c r="IK141" s="258"/>
      <c r="IL141" s="258"/>
      <c r="IM141" s="258"/>
      <c r="IN141" s="258"/>
      <c r="IO141" s="258"/>
      <c r="IP141" s="258"/>
      <c r="IQ141" s="258"/>
      <c r="IR141" s="258"/>
      <c r="IS141" s="258"/>
      <c r="IT141" s="258"/>
      <c r="IU141" s="258"/>
      <c r="IV141" s="258"/>
      <c r="IW141" s="258"/>
    </row>
    <row r="142" spans="2:257" s="262" customFormat="1" x14ac:dyDescent="0.25">
      <c r="B142" s="278"/>
      <c r="C142" s="278"/>
      <c r="D142" s="281"/>
      <c r="E142" s="281"/>
      <c r="F142" s="281"/>
      <c r="G142" s="261"/>
      <c r="H142" s="261"/>
      <c r="I142" s="260"/>
      <c r="J142" s="260"/>
      <c r="K142" s="260"/>
      <c r="L142" s="260"/>
      <c r="M142" s="260"/>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c r="BM142" s="258"/>
      <c r="BN142" s="258"/>
      <c r="BO142" s="258"/>
      <c r="BP142" s="258"/>
      <c r="BQ142" s="258"/>
      <c r="BR142" s="258"/>
      <c r="BS142" s="258"/>
      <c r="BT142" s="258"/>
      <c r="BU142" s="258"/>
      <c r="BV142" s="258"/>
      <c r="BW142" s="258"/>
      <c r="BX142" s="258"/>
      <c r="BY142" s="258"/>
      <c r="BZ142" s="258"/>
      <c r="CA142" s="258"/>
      <c r="CB142" s="258"/>
      <c r="CC142" s="258"/>
      <c r="CD142" s="258"/>
      <c r="CE142" s="258"/>
      <c r="CF142" s="258"/>
      <c r="CG142" s="258"/>
      <c r="CH142" s="258"/>
      <c r="CI142" s="258"/>
      <c r="CJ142" s="258"/>
      <c r="CK142" s="258"/>
      <c r="CL142" s="258"/>
      <c r="CM142" s="258"/>
      <c r="CN142" s="258"/>
      <c r="CO142" s="258"/>
      <c r="CP142" s="258"/>
      <c r="CQ142" s="258"/>
      <c r="CR142" s="258"/>
      <c r="CS142" s="258"/>
      <c r="CT142" s="258"/>
      <c r="CU142" s="258"/>
      <c r="CV142" s="258"/>
      <c r="CW142" s="258"/>
      <c r="CX142" s="258"/>
      <c r="CY142" s="258"/>
      <c r="CZ142" s="258"/>
      <c r="DA142" s="258"/>
      <c r="DB142" s="258"/>
      <c r="DC142" s="258"/>
      <c r="DD142" s="258"/>
      <c r="DE142" s="258"/>
      <c r="DF142" s="258"/>
      <c r="DG142" s="258"/>
      <c r="DH142" s="258"/>
      <c r="DI142" s="258"/>
      <c r="DJ142" s="258"/>
      <c r="DK142" s="258"/>
      <c r="DL142" s="258"/>
      <c r="DM142" s="258"/>
      <c r="DN142" s="258"/>
      <c r="DO142" s="258"/>
      <c r="DP142" s="258"/>
      <c r="DQ142" s="258"/>
      <c r="DR142" s="258"/>
      <c r="DS142" s="258"/>
      <c r="DT142" s="258"/>
      <c r="DU142" s="258"/>
      <c r="DV142" s="258"/>
      <c r="DW142" s="258"/>
      <c r="DX142" s="258"/>
      <c r="DY142" s="258"/>
      <c r="DZ142" s="258"/>
      <c r="EA142" s="258"/>
      <c r="EB142" s="258"/>
      <c r="EC142" s="258"/>
      <c r="ED142" s="258"/>
      <c r="EE142" s="258"/>
      <c r="EF142" s="258"/>
      <c r="EG142" s="258"/>
      <c r="EH142" s="258"/>
      <c r="EI142" s="258"/>
      <c r="EJ142" s="258"/>
      <c r="EK142" s="258"/>
      <c r="EL142" s="258"/>
      <c r="EM142" s="258"/>
      <c r="EN142" s="258"/>
      <c r="EO142" s="258"/>
      <c r="EP142" s="258"/>
      <c r="EQ142" s="258"/>
      <c r="ER142" s="258"/>
      <c r="ES142" s="258"/>
      <c r="ET142" s="258"/>
      <c r="EU142" s="258"/>
      <c r="EV142" s="258"/>
      <c r="EW142" s="258"/>
      <c r="EX142" s="258"/>
      <c r="EY142" s="258"/>
      <c r="EZ142" s="258"/>
      <c r="FA142" s="258"/>
      <c r="FB142" s="258"/>
      <c r="FC142" s="258"/>
      <c r="FD142" s="258"/>
      <c r="FE142" s="258"/>
      <c r="FF142" s="258"/>
      <c r="FG142" s="258"/>
      <c r="FH142" s="258"/>
      <c r="FI142" s="258"/>
      <c r="FJ142" s="258"/>
      <c r="FK142" s="258"/>
      <c r="FL142" s="258"/>
      <c r="FM142" s="258"/>
      <c r="FN142" s="258"/>
      <c r="FO142" s="258"/>
      <c r="FP142" s="258"/>
      <c r="FQ142" s="258"/>
      <c r="FR142" s="258"/>
      <c r="FS142" s="258"/>
      <c r="FT142" s="258"/>
      <c r="FU142" s="258"/>
      <c r="FV142" s="258"/>
      <c r="FW142" s="258"/>
      <c r="FX142" s="258"/>
      <c r="FY142" s="258"/>
      <c r="FZ142" s="258"/>
      <c r="GA142" s="258"/>
      <c r="GB142" s="258"/>
      <c r="GC142" s="258"/>
      <c r="GD142" s="258"/>
      <c r="GE142" s="258"/>
      <c r="GF142" s="258"/>
      <c r="GG142" s="258"/>
      <c r="GH142" s="258"/>
      <c r="GI142" s="258"/>
      <c r="GJ142" s="258"/>
      <c r="GK142" s="258"/>
      <c r="GL142" s="258"/>
      <c r="GM142" s="258"/>
      <c r="GN142" s="258"/>
      <c r="GO142" s="258"/>
      <c r="GP142" s="258"/>
      <c r="GQ142" s="258"/>
      <c r="GR142" s="258"/>
      <c r="GS142" s="258"/>
      <c r="GT142" s="258"/>
      <c r="GU142" s="258"/>
      <c r="GV142" s="258"/>
      <c r="GW142" s="258"/>
      <c r="GX142" s="258"/>
      <c r="GY142" s="258"/>
      <c r="GZ142" s="258"/>
      <c r="HA142" s="258"/>
      <c r="HB142" s="258"/>
      <c r="HC142" s="258"/>
      <c r="HD142" s="258"/>
      <c r="HE142" s="258"/>
      <c r="HF142" s="258"/>
      <c r="HG142" s="258"/>
      <c r="HH142" s="258"/>
      <c r="HI142" s="258"/>
      <c r="HJ142" s="258"/>
      <c r="HK142" s="258"/>
      <c r="HL142" s="258"/>
      <c r="HM142" s="258"/>
      <c r="HN142" s="258"/>
      <c r="HO142" s="258"/>
      <c r="HP142" s="258"/>
      <c r="HQ142" s="258"/>
      <c r="HR142" s="258"/>
      <c r="HS142" s="258"/>
      <c r="HT142" s="258"/>
      <c r="HU142" s="258"/>
      <c r="HV142" s="258"/>
      <c r="HW142" s="258"/>
      <c r="HX142" s="258"/>
      <c r="HY142" s="258"/>
      <c r="HZ142" s="258"/>
      <c r="IA142" s="258"/>
      <c r="IB142" s="258"/>
      <c r="IC142" s="258"/>
      <c r="ID142" s="258"/>
      <c r="IE142" s="258"/>
      <c r="IF142" s="258"/>
      <c r="IG142" s="258"/>
      <c r="IH142" s="258"/>
      <c r="II142" s="258"/>
      <c r="IJ142" s="258"/>
      <c r="IK142" s="258"/>
      <c r="IL142" s="258"/>
      <c r="IM142" s="258"/>
      <c r="IN142" s="258"/>
      <c r="IO142" s="258"/>
      <c r="IP142" s="258"/>
      <c r="IQ142" s="258"/>
      <c r="IR142" s="258"/>
      <c r="IS142" s="258"/>
      <c r="IT142" s="258"/>
      <c r="IU142" s="258"/>
      <c r="IV142" s="258"/>
      <c r="IW142" s="258"/>
    </row>
    <row r="143" spans="2:257" s="262" customFormat="1" x14ac:dyDescent="0.25">
      <c r="B143" s="278"/>
      <c r="C143" s="278"/>
      <c r="D143" s="281"/>
      <c r="E143" s="281"/>
      <c r="F143" s="281"/>
      <c r="G143" s="261"/>
      <c r="H143" s="261"/>
      <c r="I143" s="260"/>
      <c r="J143" s="260"/>
      <c r="K143" s="260"/>
      <c r="L143" s="260"/>
      <c r="M143" s="260"/>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c r="BM143" s="258"/>
      <c r="BN143" s="258"/>
      <c r="BO143" s="258"/>
      <c r="BP143" s="258"/>
      <c r="BQ143" s="258"/>
      <c r="BR143" s="258"/>
      <c r="BS143" s="258"/>
      <c r="BT143" s="258"/>
      <c r="BU143" s="258"/>
      <c r="BV143" s="258"/>
      <c r="BW143" s="258"/>
      <c r="BX143" s="258"/>
      <c r="BY143" s="258"/>
      <c r="BZ143" s="258"/>
      <c r="CA143" s="258"/>
      <c r="CB143" s="258"/>
      <c r="CC143" s="258"/>
      <c r="CD143" s="258"/>
      <c r="CE143" s="258"/>
      <c r="CF143" s="258"/>
      <c r="CG143" s="258"/>
      <c r="CH143" s="258"/>
      <c r="CI143" s="258"/>
      <c r="CJ143" s="258"/>
      <c r="CK143" s="258"/>
      <c r="CL143" s="258"/>
      <c r="CM143" s="258"/>
      <c r="CN143" s="258"/>
      <c r="CO143" s="258"/>
      <c r="CP143" s="258"/>
      <c r="CQ143" s="258"/>
      <c r="CR143" s="258"/>
      <c r="CS143" s="258"/>
      <c r="CT143" s="258"/>
      <c r="CU143" s="258"/>
      <c r="CV143" s="258"/>
      <c r="CW143" s="258"/>
      <c r="CX143" s="258"/>
      <c r="CY143" s="258"/>
      <c r="CZ143" s="258"/>
      <c r="DA143" s="258"/>
      <c r="DB143" s="258"/>
      <c r="DC143" s="258"/>
      <c r="DD143" s="258"/>
      <c r="DE143" s="258"/>
      <c r="DF143" s="258"/>
      <c r="DG143" s="258"/>
      <c r="DH143" s="258"/>
      <c r="DI143" s="258"/>
      <c r="DJ143" s="258"/>
      <c r="DK143" s="258"/>
      <c r="DL143" s="258"/>
      <c r="DM143" s="258"/>
      <c r="DN143" s="258"/>
      <c r="DO143" s="258"/>
      <c r="DP143" s="258"/>
      <c r="DQ143" s="258"/>
      <c r="DR143" s="258"/>
      <c r="DS143" s="258"/>
      <c r="DT143" s="258"/>
      <c r="DU143" s="258"/>
      <c r="DV143" s="258"/>
      <c r="DW143" s="258"/>
      <c r="DX143" s="258"/>
      <c r="DY143" s="258"/>
      <c r="DZ143" s="258"/>
      <c r="EA143" s="258"/>
      <c r="EB143" s="258"/>
      <c r="EC143" s="258"/>
      <c r="ED143" s="258"/>
      <c r="EE143" s="258"/>
      <c r="EF143" s="258"/>
      <c r="EG143" s="258"/>
      <c r="EH143" s="258"/>
      <c r="EI143" s="258"/>
      <c r="EJ143" s="258"/>
      <c r="EK143" s="258"/>
      <c r="EL143" s="258"/>
      <c r="EM143" s="258"/>
      <c r="EN143" s="258"/>
      <c r="EO143" s="258"/>
      <c r="EP143" s="258"/>
      <c r="EQ143" s="258"/>
      <c r="ER143" s="258"/>
      <c r="ES143" s="258"/>
      <c r="ET143" s="258"/>
      <c r="EU143" s="258"/>
      <c r="EV143" s="258"/>
      <c r="EW143" s="258"/>
      <c r="EX143" s="258"/>
      <c r="EY143" s="258"/>
      <c r="EZ143" s="258"/>
      <c r="FA143" s="258"/>
      <c r="FB143" s="258"/>
      <c r="FC143" s="258"/>
      <c r="FD143" s="258"/>
      <c r="FE143" s="258"/>
      <c r="FF143" s="258"/>
      <c r="FG143" s="258"/>
      <c r="FH143" s="258"/>
      <c r="FI143" s="258"/>
      <c r="FJ143" s="258"/>
      <c r="FK143" s="258"/>
      <c r="FL143" s="258"/>
      <c r="FM143" s="258"/>
      <c r="FN143" s="258"/>
      <c r="FO143" s="258"/>
      <c r="FP143" s="258"/>
      <c r="FQ143" s="258"/>
      <c r="FR143" s="258"/>
      <c r="FS143" s="258"/>
      <c r="FT143" s="258"/>
      <c r="FU143" s="258"/>
      <c r="FV143" s="258"/>
      <c r="FW143" s="258"/>
      <c r="FX143" s="258"/>
      <c r="FY143" s="258"/>
      <c r="FZ143" s="258"/>
      <c r="GA143" s="258"/>
      <c r="GB143" s="258"/>
      <c r="GC143" s="258"/>
      <c r="GD143" s="258"/>
      <c r="GE143" s="258"/>
      <c r="GF143" s="258"/>
      <c r="GG143" s="258"/>
      <c r="GH143" s="258"/>
      <c r="GI143" s="258"/>
      <c r="GJ143" s="258"/>
      <c r="GK143" s="258"/>
      <c r="GL143" s="258"/>
      <c r="GM143" s="258"/>
      <c r="GN143" s="258"/>
      <c r="GO143" s="258"/>
      <c r="GP143" s="258"/>
      <c r="GQ143" s="258"/>
      <c r="GR143" s="258"/>
      <c r="GS143" s="258"/>
      <c r="GT143" s="258"/>
      <c r="GU143" s="258"/>
      <c r="GV143" s="258"/>
      <c r="GW143" s="258"/>
      <c r="GX143" s="258"/>
      <c r="GY143" s="258"/>
      <c r="GZ143" s="258"/>
      <c r="HA143" s="258"/>
      <c r="HB143" s="258"/>
      <c r="HC143" s="258"/>
      <c r="HD143" s="258"/>
      <c r="HE143" s="258"/>
      <c r="HF143" s="258"/>
      <c r="HG143" s="258"/>
      <c r="HH143" s="258"/>
      <c r="HI143" s="258"/>
      <c r="HJ143" s="258"/>
      <c r="HK143" s="258"/>
      <c r="HL143" s="258"/>
      <c r="HM143" s="258"/>
      <c r="HN143" s="258"/>
      <c r="HO143" s="258"/>
      <c r="HP143" s="258"/>
      <c r="HQ143" s="258"/>
      <c r="HR143" s="258"/>
      <c r="HS143" s="258"/>
      <c r="HT143" s="258"/>
      <c r="HU143" s="258"/>
      <c r="HV143" s="258"/>
      <c r="HW143" s="258"/>
      <c r="HX143" s="258"/>
      <c r="HY143" s="258"/>
      <c r="HZ143" s="258"/>
      <c r="IA143" s="258"/>
      <c r="IB143" s="258"/>
      <c r="IC143" s="258"/>
      <c r="ID143" s="258"/>
      <c r="IE143" s="258"/>
      <c r="IF143" s="258"/>
      <c r="IG143" s="258"/>
      <c r="IH143" s="258"/>
      <c r="II143" s="258"/>
      <c r="IJ143" s="258"/>
      <c r="IK143" s="258"/>
      <c r="IL143" s="258"/>
      <c r="IM143" s="258"/>
      <c r="IN143" s="258"/>
      <c r="IO143" s="258"/>
      <c r="IP143" s="258"/>
      <c r="IQ143" s="258"/>
      <c r="IR143" s="258"/>
      <c r="IS143" s="258"/>
      <c r="IT143" s="258"/>
      <c r="IU143" s="258"/>
      <c r="IV143" s="258"/>
      <c r="IW143" s="258"/>
    </row>
    <row r="144" spans="2:257" s="262" customFormat="1" x14ac:dyDescent="0.25">
      <c r="B144" s="278"/>
      <c r="C144" s="278"/>
      <c r="D144" s="281"/>
      <c r="E144" s="281"/>
      <c r="F144" s="281"/>
      <c r="G144" s="261"/>
      <c r="H144" s="261"/>
      <c r="I144" s="260"/>
      <c r="J144" s="260"/>
      <c r="K144" s="260"/>
      <c r="L144" s="260"/>
      <c r="M144" s="260"/>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c r="BM144" s="258"/>
      <c r="BN144" s="258"/>
      <c r="BO144" s="258"/>
      <c r="BP144" s="258"/>
      <c r="BQ144" s="258"/>
      <c r="BR144" s="258"/>
      <c r="BS144" s="258"/>
      <c r="BT144" s="258"/>
      <c r="BU144" s="258"/>
      <c r="BV144" s="258"/>
      <c r="BW144" s="258"/>
      <c r="BX144" s="258"/>
      <c r="BY144" s="258"/>
      <c r="BZ144" s="258"/>
      <c r="CA144" s="258"/>
      <c r="CB144" s="258"/>
      <c r="CC144" s="258"/>
      <c r="CD144" s="258"/>
      <c r="CE144" s="258"/>
      <c r="CF144" s="258"/>
      <c r="CG144" s="258"/>
      <c r="CH144" s="258"/>
      <c r="CI144" s="258"/>
      <c r="CJ144" s="258"/>
      <c r="CK144" s="258"/>
      <c r="CL144" s="258"/>
      <c r="CM144" s="258"/>
      <c r="CN144" s="258"/>
      <c r="CO144" s="258"/>
      <c r="CP144" s="258"/>
      <c r="CQ144" s="258"/>
      <c r="CR144" s="258"/>
      <c r="CS144" s="258"/>
      <c r="CT144" s="258"/>
      <c r="CU144" s="258"/>
      <c r="CV144" s="258"/>
      <c r="CW144" s="258"/>
      <c r="CX144" s="258"/>
      <c r="CY144" s="258"/>
      <c r="CZ144" s="258"/>
      <c r="DA144" s="258"/>
      <c r="DB144" s="258"/>
      <c r="DC144" s="258"/>
      <c r="DD144" s="258"/>
      <c r="DE144" s="258"/>
      <c r="DF144" s="258"/>
      <c r="DG144" s="258"/>
      <c r="DH144" s="258"/>
      <c r="DI144" s="258"/>
      <c r="DJ144" s="258"/>
      <c r="DK144" s="258"/>
      <c r="DL144" s="258"/>
      <c r="DM144" s="258"/>
      <c r="DN144" s="258"/>
      <c r="DO144" s="258"/>
      <c r="DP144" s="258"/>
      <c r="DQ144" s="258"/>
      <c r="DR144" s="258"/>
      <c r="DS144" s="258"/>
      <c r="DT144" s="258"/>
      <c r="DU144" s="258"/>
      <c r="DV144" s="258"/>
      <c r="DW144" s="258"/>
      <c r="DX144" s="258"/>
      <c r="DY144" s="258"/>
      <c r="DZ144" s="258"/>
      <c r="EA144" s="258"/>
      <c r="EB144" s="258"/>
      <c r="EC144" s="258"/>
      <c r="ED144" s="258"/>
      <c r="EE144" s="258"/>
      <c r="EF144" s="258"/>
      <c r="EG144" s="258"/>
      <c r="EH144" s="258"/>
      <c r="EI144" s="258"/>
      <c r="EJ144" s="258"/>
      <c r="EK144" s="258"/>
      <c r="EL144" s="258"/>
      <c r="EM144" s="258"/>
      <c r="EN144" s="258"/>
      <c r="EO144" s="258"/>
      <c r="EP144" s="258"/>
      <c r="EQ144" s="258"/>
      <c r="ER144" s="258"/>
      <c r="ES144" s="258"/>
      <c r="ET144" s="258"/>
      <c r="EU144" s="258"/>
      <c r="EV144" s="258"/>
      <c r="EW144" s="258"/>
      <c r="EX144" s="258"/>
      <c r="EY144" s="258"/>
      <c r="EZ144" s="258"/>
      <c r="FA144" s="258"/>
      <c r="FB144" s="258"/>
      <c r="FC144" s="258"/>
      <c r="FD144" s="258"/>
      <c r="FE144" s="258"/>
      <c r="FF144" s="258"/>
      <c r="FG144" s="258"/>
      <c r="FH144" s="258"/>
      <c r="FI144" s="258"/>
      <c r="FJ144" s="258"/>
      <c r="FK144" s="258"/>
      <c r="FL144" s="258"/>
      <c r="FM144" s="258"/>
      <c r="FN144" s="258"/>
      <c r="FO144" s="258"/>
      <c r="FP144" s="258"/>
      <c r="FQ144" s="258"/>
      <c r="FR144" s="258"/>
      <c r="FS144" s="258"/>
      <c r="FT144" s="258"/>
      <c r="FU144" s="258"/>
      <c r="FV144" s="258"/>
      <c r="FW144" s="258"/>
      <c r="FX144" s="258"/>
      <c r="FY144" s="258"/>
      <c r="FZ144" s="258"/>
      <c r="GA144" s="258"/>
      <c r="GB144" s="258"/>
      <c r="GC144" s="258"/>
      <c r="GD144" s="258"/>
      <c r="GE144" s="258"/>
      <c r="GF144" s="258"/>
      <c r="GG144" s="258"/>
      <c r="GH144" s="258"/>
      <c r="GI144" s="258"/>
      <c r="GJ144" s="258"/>
      <c r="GK144" s="258"/>
      <c r="GL144" s="258"/>
      <c r="GM144" s="258"/>
      <c r="GN144" s="258"/>
      <c r="GO144" s="258"/>
      <c r="GP144" s="258"/>
      <c r="GQ144" s="258"/>
      <c r="GR144" s="258"/>
      <c r="GS144" s="258"/>
      <c r="GT144" s="258"/>
      <c r="GU144" s="258"/>
      <c r="GV144" s="258"/>
      <c r="GW144" s="258"/>
      <c r="GX144" s="258"/>
      <c r="GY144" s="258"/>
      <c r="GZ144" s="258"/>
      <c r="HA144" s="258"/>
      <c r="HB144" s="258"/>
      <c r="HC144" s="258"/>
      <c r="HD144" s="258"/>
      <c r="HE144" s="258"/>
      <c r="HF144" s="258"/>
      <c r="HG144" s="258"/>
      <c r="HH144" s="258"/>
      <c r="HI144" s="258"/>
      <c r="HJ144" s="258"/>
      <c r="HK144" s="258"/>
      <c r="HL144" s="258"/>
      <c r="HM144" s="258"/>
      <c r="HN144" s="258"/>
      <c r="HO144" s="258"/>
      <c r="HP144" s="258"/>
      <c r="HQ144" s="258"/>
      <c r="HR144" s="258"/>
      <c r="HS144" s="258"/>
      <c r="HT144" s="258"/>
      <c r="HU144" s="258"/>
      <c r="HV144" s="258"/>
      <c r="HW144" s="258"/>
      <c r="HX144" s="258"/>
      <c r="HY144" s="258"/>
      <c r="HZ144" s="258"/>
      <c r="IA144" s="258"/>
      <c r="IB144" s="258"/>
      <c r="IC144" s="258"/>
      <c r="ID144" s="258"/>
      <c r="IE144" s="258"/>
      <c r="IF144" s="258"/>
      <c r="IG144" s="258"/>
      <c r="IH144" s="258"/>
      <c r="II144" s="258"/>
      <c r="IJ144" s="258"/>
      <c r="IK144" s="258"/>
      <c r="IL144" s="258"/>
      <c r="IM144" s="258"/>
      <c r="IN144" s="258"/>
      <c r="IO144" s="258"/>
      <c r="IP144" s="258"/>
      <c r="IQ144" s="258"/>
      <c r="IR144" s="258"/>
      <c r="IS144" s="258"/>
      <c r="IT144" s="258"/>
      <c r="IU144" s="258"/>
      <c r="IV144" s="258"/>
      <c r="IW144" s="258"/>
    </row>
    <row r="145" spans="2:257" s="262" customFormat="1" x14ac:dyDescent="0.25">
      <c r="B145" s="278"/>
      <c r="C145" s="278"/>
      <c r="D145" s="281"/>
      <c r="E145" s="281"/>
      <c r="F145" s="281"/>
      <c r="G145" s="261"/>
      <c r="H145" s="261"/>
      <c r="I145" s="260"/>
      <c r="J145" s="260"/>
      <c r="K145" s="260"/>
      <c r="L145" s="260"/>
      <c r="M145" s="260"/>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c r="BM145" s="258"/>
      <c r="BN145" s="258"/>
      <c r="BO145" s="258"/>
      <c r="BP145" s="258"/>
      <c r="BQ145" s="258"/>
      <c r="BR145" s="258"/>
      <c r="BS145" s="258"/>
      <c r="BT145" s="258"/>
      <c r="BU145" s="258"/>
      <c r="BV145" s="258"/>
      <c r="BW145" s="258"/>
      <c r="BX145" s="258"/>
      <c r="BY145" s="258"/>
      <c r="BZ145" s="258"/>
      <c r="CA145" s="258"/>
      <c r="CB145" s="258"/>
      <c r="CC145" s="258"/>
      <c r="CD145" s="258"/>
      <c r="CE145" s="258"/>
      <c r="CF145" s="258"/>
      <c r="CG145" s="258"/>
      <c r="CH145" s="258"/>
      <c r="CI145" s="258"/>
      <c r="CJ145" s="258"/>
      <c r="CK145" s="258"/>
      <c r="CL145" s="258"/>
      <c r="CM145" s="258"/>
      <c r="CN145" s="258"/>
      <c r="CO145" s="258"/>
      <c r="CP145" s="258"/>
      <c r="CQ145" s="258"/>
      <c r="CR145" s="258"/>
      <c r="CS145" s="258"/>
      <c r="CT145" s="258"/>
      <c r="CU145" s="258"/>
      <c r="CV145" s="258"/>
      <c r="CW145" s="258"/>
      <c r="CX145" s="258"/>
      <c r="CY145" s="258"/>
      <c r="CZ145" s="258"/>
      <c r="DA145" s="258"/>
      <c r="DB145" s="258"/>
      <c r="DC145" s="258"/>
      <c r="DD145" s="258"/>
      <c r="DE145" s="258"/>
      <c r="DF145" s="258"/>
      <c r="DG145" s="258"/>
      <c r="DH145" s="258"/>
      <c r="DI145" s="258"/>
      <c r="DJ145" s="258"/>
      <c r="DK145" s="258"/>
      <c r="DL145" s="258"/>
      <c r="DM145" s="258"/>
      <c r="DN145" s="258"/>
      <c r="DO145" s="258"/>
      <c r="DP145" s="258"/>
      <c r="DQ145" s="258"/>
      <c r="DR145" s="258"/>
      <c r="DS145" s="258"/>
      <c r="DT145" s="258"/>
      <c r="DU145" s="258"/>
      <c r="DV145" s="258"/>
      <c r="DW145" s="258"/>
      <c r="DX145" s="258"/>
      <c r="DY145" s="258"/>
      <c r="DZ145" s="258"/>
      <c r="EA145" s="258"/>
      <c r="EB145" s="258"/>
      <c r="EC145" s="258"/>
      <c r="ED145" s="258"/>
      <c r="EE145" s="258"/>
      <c r="EF145" s="258"/>
      <c r="EG145" s="258"/>
      <c r="EH145" s="258"/>
      <c r="EI145" s="258"/>
      <c r="EJ145" s="258"/>
      <c r="EK145" s="258"/>
      <c r="EL145" s="258"/>
      <c r="EM145" s="258"/>
      <c r="EN145" s="258"/>
      <c r="EO145" s="258"/>
      <c r="EP145" s="258"/>
      <c r="EQ145" s="258"/>
      <c r="ER145" s="258"/>
      <c r="ES145" s="258"/>
      <c r="ET145" s="258"/>
      <c r="EU145" s="258"/>
      <c r="EV145" s="258"/>
      <c r="EW145" s="258"/>
      <c r="EX145" s="258"/>
      <c r="EY145" s="258"/>
      <c r="EZ145" s="258"/>
      <c r="FA145" s="258"/>
      <c r="FB145" s="258"/>
      <c r="FC145" s="258"/>
      <c r="FD145" s="258"/>
      <c r="FE145" s="258"/>
      <c r="FF145" s="258"/>
      <c r="FG145" s="258"/>
      <c r="FH145" s="258"/>
      <c r="FI145" s="258"/>
      <c r="FJ145" s="258"/>
      <c r="FK145" s="258"/>
      <c r="FL145" s="258"/>
      <c r="FM145" s="258"/>
      <c r="FN145" s="258"/>
      <c r="FO145" s="258"/>
      <c r="FP145" s="258"/>
      <c r="FQ145" s="258"/>
      <c r="FR145" s="258"/>
      <c r="FS145" s="258"/>
      <c r="FT145" s="258"/>
      <c r="FU145" s="258"/>
      <c r="FV145" s="258"/>
      <c r="FW145" s="258"/>
      <c r="FX145" s="258"/>
      <c r="FY145" s="258"/>
      <c r="FZ145" s="258"/>
      <c r="GA145" s="258"/>
      <c r="GB145" s="258"/>
      <c r="GC145" s="258"/>
      <c r="GD145" s="258"/>
      <c r="GE145" s="258"/>
      <c r="GF145" s="258"/>
      <c r="GG145" s="258"/>
      <c r="GH145" s="258"/>
      <c r="GI145" s="258"/>
      <c r="GJ145" s="258"/>
      <c r="GK145" s="258"/>
      <c r="GL145" s="258"/>
      <c r="GM145" s="258"/>
      <c r="GN145" s="258"/>
      <c r="GO145" s="258"/>
      <c r="GP145" s="258"/>
      <c r="GQ145" s="258"/>
      <c r="GR145" s="258"/>
      <c r="GS145" s="258"/>
      <c r="GT145" s="258"/>
      <c r="GU145" s="258"/>
      <c r="GV145" s="258"/>
      <c r="GW145" s="258"/>
      <c r="GX145" s="258"/>
      <c r="GY145" s="258"/>
      <c r="GZ145" s="258"/>
      <c r="HA145" s="258"/>
      <c r="HB145" s="258"/>
      <c r="HC145" s="258"/>
      <c r="HD145" s="258"/>
      <c r="HE145" s="258"/>
      <c r="HF145" s="258"/>
      <c r="HG145" s="258"/>
      <c r="HH145" s="258"/>
      <c r="HI145" s="258"/>
      <c r="HJ145" s="258"/>
      <c r="HK145" s="258"/>
      <c r="HL145" s="258"/>
      <c r="HM145" s="258"/>
      <c r="HN145" s="258"/>
      <c r="HO145" s="258"/>
      <c r="HP145" s="258"/>
      <c r="HQ145" s="258"/>
      <c r="HR145" s="258"/>
      <c r="HS145" s="258"/>
      <c r="HT145" s="258"/>
      <c r="HU145" s="258"/>
      <c r="HV145" s="258"/>
      <c r="HW145" s="258"/>
      <c r="HX145" s="258"/>
      <c r="HY145" s="258"/>
      <c r="HZ145" s="258"/>
      <c r="IA145" s="258"/>
      <c r="IB145" s="258"/>
      <c r="IC145" s="258"/>
      <c r="ID145" s="258"/>
      <c r="IE145" s="258"/>
      <c r="IF145" s="258"/>
      <c r="IG145" s="258"/>
      <c r="IH145" s="258"/>
      <c r="II145" s="258"/>
      <c r="IJ145" s="258"/>
      <c r="IK145" s="258"/>
      <c r="IL145" s="258"/>
      <c r="IM145" s="258"/>
      <c r="IN145" s="258"/>
      <c r="IO145" s="258"/>
      <c r="IP145" s="258"/>
      <c r="IQ145" s="258"/>
      <c r="IR145" s="258"/>
      <c r="IS145" s="258"/>
      <c r="IT145" s="258"/>
      <c r="IU145" s="258"/>
      <c r="IV145" s="258"/>
      <c r="IW145" s="258"/>
    </row>
    <row r="146" spans="2:257" s="262" customFormat="1" x14ac:dyDescent="0.25">
      <c r="B146" s="278"/>
      <c r="C146" s="278"/>
      <c r="D146" s="281"/>
      <c r="E146" s="281"/>
      <c r="F146" s="281"/>
      <c r="G146" s="261"/>
      <c r="H146" s="261"/>
      <c r="I146" s="260"/>
      <c r="J146" s="260"/>
      <c r="K146" s="260"/>
      <c r="L146" s="260"/>
      <c r="M146" s="260"/>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c r="BM146" s="258"/>
      <c r="BN146" s="258"/>
      <c r="BO146" s="258"/>
      <c r="BP146" s="258"/>
      <c r="BQ146" s="258"/>
      <c r="BR146" s="258"/>
      <c r="BS146" s="258"/>
      <c r="BT146" s="258"/>
      <c r="BU146" s="258"/>
      <c r="BV146" s="258"/>
      <c r="BW146" s="258"/>
      <c r="BX146" s="258"/>
      <c r="BY146" s="258"/>
      <c r="BZ146" s="258"/>
      <c r="CA146" s="258"/>
      <c r="CB146" s="258"/>
      <c r="CC146" s="258"/>
      <c r="CD146" s="258"/>
      <c r="CE146" s="258"/>
      <c r="CF146" s="258"/>
      <c r="CG146" s="258"/>
      <c r="CH146" s="258"/>
      <c r="CI146" s="258"/>
      <c r="CJ146" s="258"/>
      <c r="CK146" s="258"/>
      <c r="CL146" s="258"/>
      <c r="CM146" s="258"/>
      <c r="CN146" s="258"/>
      <c r="CO146" s="258"/>
      <c r="CP146" s="258"/>
      <c r="CQ146" s="258"/>
      <c r="CR146" s="258"/>
      <c r="CS146" s="258"/>
      <c r="CT146" s="258"/>
      <c r="CU146" s="258"/>
      <c r="CV146" s="258"/>
      <c r="CW146" s="258"/>
      <c r="CX146" s="258"/>
      <c r="CY146" s="258"/>
      <c r="CZ146" s="258"/>
      <c r="DA146" s="258"/>
      <c r="DB146" s="258"/>
      <c r="DC146" s="258"/>
      <c r="DD146" s="258"/>
      <c r="DE146" s="258"/>
      <c r="DF146" s="258"/>
      <c r="DG146" s="258"/>
      <c r="DH146" s="258"/>
      <c r="DI146" s="258"/>
      <c r="DJ146" s="258"/>
      <c r="DK146" s="258"/>
      <c r="DL146" s="258"/>
      <c r="DM146" s="258"/>
      <c r="DN146" s="258"/>
      <c r="DO146" s="258"/>
      <c r="DP146" s="258"/>
      <c r="DQ146" s="258"/>
      <c r="DR146" s="258"/>
      <c r="DS146" s="258"/>
      <c r="DT146" s="258"/>
      <c r="DU146" s="258"/>
      <c r="DV146" s="258"/>
      <c r="DW146" s="258"/>
      <c r="DX146" s="258"/>
      <c r="DY146" s="258"/>
      <c r="DZ146" s="258"/>
      <c r="EA146" s="258"/>
      <c r="EB146" s="258"/>
      <c r="EC146" s="258"/>
      <c r="ED146" s="258"/>
      <c r="EE146" s="258"/>
      <c r="EF146" s="258"/>
      <c r="EG146" s="258"/>
      <c r="EH146" s="258"/>
      <c r="EI146" s="258"/>
      <c r="EJ146" s="258"/>
      <c r="EK146" s="258"/>
      <c r="EL146" s="258"/>
      <c r="EM146" s="258"/>
      <c r="EN146" s="258"/>
      <c r="EO146" s="258"/>
      <c r="EP146" s="258"/>
      <c r="EQ146" s="258"/>
      <c r="ER146" s="258"/>
      <c r="ES146" s="258"/>
      <c r="ET146" s="258"/>
      <c r="EU146" s="258"/>
      <c r="EV146" s="258"/>
      <c r="EW146" s="258"/>
      <c r="EX146" s="258"/>
      <c r="EY146" s="258"/>
      <c r="EZ146" s="258"/>
      <c r="FA146" s="258"/>
      <c r="FB146" s="258"/>
      <c r="FC146" s="258"/>
      <c r="FD146" s="258"/>
      <c r="FE146" s="258"/>
      <c r="FF146" s="258"/>
      <c r="FG146" s="258"/>
      <c r="FH146" s="258"/>
      <c r="FI146" s="258"/>
      <c r="FJ146" s="258"/>
      <c r="FK146" s="258"/>
      <c r="FL146" s="258"/>
      <c r="FM146" s="258"/>
      <c r="FN146" s="258"/>
      <c r="FO146" s="258"/>
      <c r="FP146" s="258"/>
      <c r="FQ146" s="258"/>
      <c r="FR146" s="258"/>
      <c r="FS146" s="258"/>
      <c r="FT146" s="258"/>
      <c r="FU146" s="258"/>
      <c r="FV146" s="258"/>
      <c r="FW146" s="258"/>
      <c r="FX146" s="258"/>
      <c r="FY146" s="258"/>
      <c r="FZ146" s="258"/>
      <c r="GA146" s="258"/>
      <c r="GB146" s="258"/>
      <c r="GC146" s="258"/>
      <c r="GD146" s="258"/>
      <c r="GE146" s="258"/>
      <c r="GF146" s="258"/>
      <c r="GG146" s="258"/>
      <c r="GH146" s="258"/>
      <c r="GI146" s="258"/>
      <c r="GJ146" s="258"/>
      <c r="GK146" s="258"/>
      <c r="GL146" s="258"/>
      <c r="GM146" s="258"/>
      <c r="GN146" s="258"/>
      <c r="GO146" s="258"/>
      <c r="GP146" s="258"/>
      <c r="GQ146" s="258"/>
      <c r="GR146" s="258"/>
      <c r="GS146" s="258"/>
      <c r="GT146" s="258"/>
      <c r="GU146" s="258"/>
      <c r="GV146" s="258"/>
      <c r="GW146" s="258"/>
      <c r="GX146" s="258"/>
      <c r="GY146" s="258"/>
      <c r="GZ146" s="258"/>
      <c r="HA146" s="258"/>
      <c r="HB146" s="258"/>
      <c r="HC146" s="258"/>
      <c r="HD146" s="258"/>
      <c r="HE146" s="258"/>
      <c r="HF146" s="258"/>
      <c r="HG146" s="258"/>
      <c r="HH146" s="258"/>
      <c r="HI146" s="258"/>
      <c r="HJ146" s="258"/>
      <c r="HK146" s="258"/>
      <c r="HL146" s="258"/>
      <c r="HM146" s="258"/>
      <c r="HN146" s="258"/>
      <c r="HO146" s="258"/>
      <c r="HP146" s="258"/>
      <c r="HQ146" s="258"/>
      <c r="HR146" s="258"/>
      <c r="HS146" s="258"/>
      <c r="HT146" s="258"/>
      <c r="HU146" s="258"/>
      <c r="HV146" s="258"/>
      <c r="HW146" s="258"/>
      <c r="HX146" s="258"/>
      <c r="HY146" s="258"/>
      <c r="HZ146" s="258"/>
      <c r="IA146" s="258"/>
      <c r="IB146" s="258"/>
      <c r="IC146" s="258"/>
      <c r="ID146" s="258"/>
      <c r="IE146" s="258"/>
      <c r="IF146" s="258"/>
      <c r="IG146" s="258"/>
      <c r="IH146" s="258"/>
      <c r="II146" s="258"/>
      <c r="IJ146" s="258"/>
      <c r="IK146" s="258"/>
      <c r="IL146" s="258"/>
      <c r="IM146" s="258"/>
      <c r="IN146" s="258"/>
      <c r="IO146" s="258"/>
      <c r="IP146" s="258"/>
      <c r="IQ146" s="258"/>
      <c r="IR146" s="258"/>
      <c r="IS146" s="258"/>
      <c r="IT146" s="258"/>
      <c r="IU146" s="258"/>
      <c r="IV146" s="258"/>
      <c r="IW146" s="258"/>
    </row>
    <row r="147" spans="2:257" s="262" customFormat="1" x14ac:dyDescent="0.25">
      <c r="B147" s="278"/>
      <c r="C147" s="278"/>
      <c r="D147" s="281"/>
      <c r="E147" s="281"/>
      <c r="F147" s="281"/>
      <c r="G147" s="261"/>
      <c r="H147" s="261"/>
      <c r="I147" s="260"/>
      <c r="J147" s="260"/>
      <c r="K147" s="260"/>
      <c r="L147" s="260"/>
      <c r="M147" s="260"/>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c r="BM147" s="258"/>
      <c r="BN147" s="258"/>
      <c r="BO147" s="258"/>
      <c r="BP147" s="258"/>
      <c r="BQ147" s="258"/>
      <c r="BR147" s="258"/>
      <c r="BS147" s="258"/>
      <c r="BT147" s="258"/>
      <c r="BU147" s="258"/>
      <c r="BV147" s="258"/>
      <c r="BW147" s="258"/>
      <c r="BX147" s="258"/>
      <c r="BY147" s="258"/>
      <c r="BZ147" s="258"/>
      <c r="CA147" s="258"/>
      <c r="CB147" s="258"/>
      <c r="CC147" s="258"/>
      <c r="CD147" s="258"/>
      <c r="CE147" s="258"/>
      <c r="CF147" s="258"/>
      <c r="CG147" s="258"/>
      <c r="CH147" s="258"/>
      <c r="CI147" s="258"/>
      <c r="CJ147" s="258"/>
      <c r="CK147" s="258"/>
      <c r="CL147" s="258"/>
      <c r="CM147" s="258"/>
      <c r="CN147" s="258"/>
      <c r="CO147" s="258"/>
      <c r="CP147" s="258"/>
      <c r="CQ147" s="258"/>
      <c r="CR147" s="258"/>
      <c r="CS147" s="258"/>
      <c r="CT147" s="258"/>
      <c r="CU147" s="258"/>
      <c r="CV147" s="258"/>
      <c r="CW147" s="258"/>
      <c r="CX147" s="258"/>
      <c r="CY147" s="258"/>
      <c r="CZ147" s="258"/>
      <c r="DA147" s="258"/>
      <c r="DB147" s="258"/>
      <c r="DC147" s="258"/>
      <c r="DD147" s="258"/>
      <c r="DE147" s="258"/>
      <c r="DF147" s="258"/>
      <c r="DG147" s="258"/>
      <c r="DH147" s="258"/>
      <c r="DI147" s="258"/>
      <c r="DJ147" s="258"/>
      <c r="DK147" s="258"/>
      <c r="DL147" s="258"/>
      <c r="DM147" s="258"/>
      <c r="DN147" s="258"/>
      <c r="DO147" s="258"/>
      <c r="DP147" s="258"/>
      <c r="DQ147" s="258"/>
      <c r="DR147" s="258"/>
      <c r="DS147" s="258"/>
      <c r="DT147" s="258"/>
      <c r="DU147" s="258"/>
      <c r="DV147" s="258"/>
      <c r="DW147" s="258"/>
      <c r="DX147" s="258"/>
      <c r="DY147" s="258"/>
      <c r="DZ147" s="258"/>
      <c r="EA147" s="258"/>
      <c r="EB147" s="258"/>
      <c r="EC147" s="258"/>
      <c r="ED147" s="258"/>
      <c r="EE147" s="258"/>
      <c r="EF147" s="258"/>
      <c r="EG147" s="258"/>
      <c r="EH147" s="258"/>
      <c r="EI147" s="258"/>
      <c r="EJ147" s="258"/>
      <c r="EK147" s="258"/>
      <c r="EL147" s="258"/>
      <c r="EM147" s="258"/>
      <c r="EN147" s="258"/>
      <c r="EO147" s="258"/>
      <c r="EP147" s="258"/>
      <c r="EQ147" s="258"/>
      <c r="ER147" s="258"/>
      <c r="ES147" s="258"/>
      <c r="ET147" s="258"/>
      <c r="EU147" s="258"/>
      <c r="EV147" s="258"/>
      <c r="EW147" s="258"/>
      <c r="EX147" s="258"/>
      <c r="EY147" s="258"/>
      <c r="EZ147" s="258"/>
      <c r="FA147" s="258"/>
      <c r="FB147" s="258"/>
      <c r="FC147" s="258"/>
      <c r="FD147" s="258"/>
      <c r="FE147" s="258"/>
      <c r="FF147" s="258"/>
      <c r="FG147" s="258"/>
      <c r="FH147" s="258"/>
      <c r="FI147" s="258"/>
      <c r="FJ147" s="258"/>
      <c r="FK147" s="258"/>
      <c r="FL147" s="258"/>
      <c r="FM147" s="258"/>
      <c r="FN147" s="258"/>
      <c r="FO147" s="258"/>
      <c r="FP147" s="258"/>
      <c r="FQ147" s="258"/>
      <c r="FR147" s="258"/>
      <c r="FS147" s="258"/>
      <c r="FT147" s="258"/>
      <c r="FU147" s="258"/>
      <c r="FV147" s="258"/>
      <c r="FW147" s="258"/>
      <c r="FX147" s="258"/>
      <c r="FY147" s="258"/>
      <c r="FZ147" s="258"/>
      <c r="GA147" s="258"/>
      <c r="GB147" s="258"/>
      <c r="GC147" s="258"/>
      <c r="GD147" s="258"/>
      <c r="GE147" s="258"/>
      <c r="GF147" s="258"/>
      <c r="GG147" s="258"/>
      <c r="GH147" s="258"/>
      <c r="GI147" s="258"/>
      <c r="GJ147" s="258"/>
      <c r="GK147" s="258"/>
      <c r="GL147" s="258"/>
      <c r="GM147" s="258"/>
      <c r="GN147" s="258"/>
      <c r="GO147" s="258"/>
      <c r="GP147" s="258"/>
      <c r="GQ147" s="258"/>
      <c r="GR147" s="258"/>
      <c r="GS147" s="258"/>
      <c r="GT147" s="258"/>
      <c r="GU147" s="258"/>
      <c r="GV147" s="258"/>
      <c r="GW147" s="258"/>
      <c r="GX147" s="258"/>
      <c r="GY147" s="258"/>
      <c r="GZ147" s="258"/>
      <c r="HA147" s="258"/>
      <c r="HB147" s="258"/>
      <c r="HC147" s="258"/>
      <c r="HD147" s="258"/>
      <c r="HE147" s="258"/>
      <c r="HF147" s="258"/>
      <c r="HG147" s="258"/>
      <c r="HH147" s="258"/>
      <c r="HI147" s="258"/>
      <c r="HJ147" s="258"/>
      <c r="HK147" s="258"/>
      <c r="HL147" s="258"/>
      <c r="HM147" s="258"/>
      <c r="HN147" s="258"/>
      <c r="HO147" s="258"/>
      <c r="HP147" s="258"/>
      <c r="HQ147" s="258"/>
      <c r="HR147" s="258"/>
      <c r="HS147" s="258"/>
      <c r="HT147" s="258"/>
      <c r="HU147" s="258"/>
      <c r="HV147" s="258"/>
      <c r="HW147" s="258"/>
      <c r="HX147" s="258"/>
      <c r="HY147" s="258"/>
      <c r="HZ147" s="258"/>
      <c r="IA147" s="258"/>
      <c r="IB147" s="258"/>
      <c r="IC147" s="258"/>
      <c r="ID147" s="258"/>
      <c r="IE147" s="258"/>
      <c r="IF147" s="258"/>
      <c r="IG147" s="258"/>
      <c r="IH147" s="258"/>
      <c r="II147" s="258"/>
      <c r="IJ147" s="258"/>
      <c r="IK147" s="258"/>
      <c r="IL147" s="258"/>
      <c r="IM147" s="258"/>
      <c r="IN147" s="258"/>
      <c r="IO147" s="258"/>
      <c r="IP147" s="258"/>
      <c r="IQ147" s="258"/>
      <c r="IR147" s="258"/>
      <c r="IS147" s="258"/>
      <c r="IT147" s="258"/>
      <c r="IU147" s="258"/>
      <c r="IV147" s="258"/>
      <c r="IW147" s="258"/>
    </row>
    <row r="148" spans="2:257" s="261" customFormat="1" x14ac:dyDescent="0.25">
      <c r="B148" s="278"/>
      <c r="C148" s="278"/>
      <c r="D148" s="281"/>
      <c r="E148" s="281"/>
      <c r="F148" s="281"/>
      <c r="I148" s="260"/>
      <c r="J148" s="260"/>
      <c r="K148" s="260"/>
      <c r="L148" s="260"/>
      <c r="M148" s="260"/>
      <c r="N148" s="262"/>
      <c r="O148" s="262"/>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c r="BM148" s="258"/>
      <c r="BN148" s="258"/>
      <c r="BO148" s="258"/>
      <c r="BP148" s="258"/>
      <c r="BQ148" s="258"/>
      <c r="BR148" s="258"/>
      <c r="BS148" s="258"/>
      <c r="BT148" s="258"/>
      <c r="BU148" s="258"/>
      <c r="BV148" s="258"/>
      <c r="BW148" s="258"/>
      <c r="BX148" s="258"/>
      <c r="BY148" s="258"/>
      <c r="BZ148" s="258"/>
      <c r="CA148" s="258"/>
      <c r="CB148" s="258"/>
      <c r="CC148" s="258"/>
      <c r="CD148" s="258"/>
      <c r="CE148" s="258"/>
      <c r="CF148" s="258"/>
      <c r="CG148" s="258"/>
      <c r="CH148" s="258"/>
      <c r="CI148" s="258"/>
      <c r="CJ148" s="258"/>
      <c r="CK148" s="258"/>
      <c r="CL148" s="258"/>
      <c r="CM148" s="258"/>
      <c r="CN148" s="258"/>
      <c r="CO148" s="258"/>
      <c r="CP148" s="258"/>
      <c r="CQ148" s="258"/>
      <c r="CR148" s="258"/>
      <c r="CS148" s="258"/>
      <c r="CT148" s="258"/>
      <c r="CU148" s="258"/>
      <c r="CV148" s="258"/>
      <c r="CW148" s="258"/>
      <c r="CX148" s="258"/>
      <c r="CY148" s="258"/>
      <c r="CZ148" s="258"/>
      <c r="DA148" s="258"/>
      <c r="DB148" s="258"/>
      <c r="DC148" s="258"/>
      <c r="DD148" s="258"/>
      <c r="DE148" s="258"/>
      <c r="DF148" s="258"/>
      <c r="DG148" s="258"/>
      <c r="DH148" s="258"/>
      <c r="DI148" s="258"/>
      <c r="DJ148" s="258"/>
      <c r="DK148" s="258"/>
      <c r="DL148" s="258"/>
      <c r="DM148" s="258"/>
      <c r="DN148" s="258"/>
      <c r="DO148" s="258"/>
      <c r="DP148" s="258"/>
      <c r="DQ148" s="258"/>
      <c r="DR148" s="258"/>
      <c r="DS148" s="258"/>
      <c r="DT148" s="258"/>
      <c r="DU148" s="258"/>
      <c r="DV148" s="258"/>
      <c r="DW148" s="258"/>
      <c r="DX148" s="258"/>
      <c r="DY148" s="258"/>
      <c r="DZ148" s="258"/>
      <c r="EA148" s="258"/>
      <c r="EB148" s="258"/>
      <c r="EC148" s="258"/>
      <c r="ED148" s="258"/>
      <c r="EE148" s="258"/>
      <c r="EF148" s="258"/>
      <c r="EG148" s="258"/>
      <c r="EH148" s="258"/>
      <c r="EI148" s="258"/>
      <c r="EJ148" s="258"/>
      <c r="EK148" s="258"/>
      <c r="EL148" s="258"/>
      <c r="EM148" s="258"/>
      <c r="EN148" s="258"/>
      <c r="EO148" s="258"/>
      <c r="EP148" s="258"/>
      <c r="EQ148" s="258"/>
      <c r="ER148" s="258"/>
      <c r="ES148" s="258"/>
      <c r="ET148" s="258"/>
      <c r="EU148" s="258"/>
      <c r="EV148" s="258"/>
      <c r="EW148" s="258"/>
      <c r="EX148" s="258"/>
      <c r="EY148" s="258"/>
      <c r="EZ148" s="258"/>
      <c r="FA148" s="258"/>
      <c r="FB148" s="258"/>
      <c r="FC148" s="258"/>
      <c r="FD148" s="258"/>
      <c r="FE148" s="258"/>
      <c r="FF148" s="258"/>
      <c r="FG148" s="258"/>
      <c r="FH148" s="258"/>
      <c r="FI148" s="258"/>
      <c r="FJ148" s="258"/>
      <c r="FK148" s="258"/>
      <c r="FL148" s="258"/>
      <c r="FM148" s="258"/>
      <c r="FN148" s="258"/>
      <c r="FO148" s="258"/>
      <c r="FP148" s="258"/>
      <c r="FQ148" s="258"/>
      <c r="FR148" s="258"/>
      <c r="FS148" s="258"/>
      <c r="FT148" s="258"/>
      <c r="FU148" s="258"/>
      <c r="FV148" s="258"/>
      <c r="FW148" s="258"/>
      <c r="FX148" s="258"/>
      <c r="FY148" s="258"/>
      <c r="FZ148" s="258"/>
      <c r="GA148" s="258"/>
      <c r="GB148" s="258"/>
      <c r="GC148" s="258"/>
      <c r="GD148" s="258"/>
      <c r="GE148" s="258"/>
      <c r="GF148" s="258"/>
      <c r="GG148" s="258"/>
      <c r="GH148" s="258"/>
      <c r="GI148" s="258"/>
      <c r="GJ148" s="258"/>
      <c r="GK148" s="258"/>
      <c r="GL148" s="258"/>
      <c r="GM148" s="258"/>
      <c r="GN148" s="258"/>
      <c r="GO148" s="258"/>
      <c r="GP148" s="258"/>
      <c r="GQ148" s="258"/>
      <c r="GR148" s="258"/>
      <c r="GS148" s="258"/>
      <c r="GT148" s="258"/>
      <c r="GU148" s="258"/>
      <c r="GV148" s="258"/>
      <c r="GW148" s="258"/>
      <c r="GX148" s="258"/>
      <c r="GY148" s="258"/>
      <c r="GZ148" s="258"/>
      <c r="HA148" s="258"/>
      <c r="HB148" s="258"/>
      <c r="HC148" s="258"/>
      <c r="HD148" s="258"/>
      <c r="HE148" s="258"/>
      <c r="HF148" s="258"/>
      <c r="HG148" s="258"/>
      <c r="HH148" s="258"/>
      <c r="HI148" s="258"/>
      <c r="HJ148" s="258"/>
      <c r="HK148" s="258"/>
      <c r="HL148" s="258"/>
      <c r="HM148" s="258"/>
      <c r="HN148" s="258"/>
      <c r="HO148" s="258"/>
      <c r="HP148" s="258"/>
      <c r="HQ148" s="258"/>
      <c r="HR148" s="258"/>
      <c r="HS148" s="258"/>
      <c r="HT148" s="258"/>
      <c r="HU148" s="258"/>
      <c r="HV148" s="258"/>
      <c r="HW148" s="258"/>
      <c r="HX148" s="258"/>
      <c r="HY148" s="258"/>
      <c r="HZ148" s="258"/>
      <c r="IA148" s="258"/>
      <c r="IB148" s="258"/>
      <c r="IC148" s="258"/>
      <c r="ID148" s="258"/>
      <c r="IE148" s="258"/>
      <c r="IF148" s="258"/>
      <c r="IG148" s="258"/>
      <c r="IH148" s="258"/>
      <c r="II148" s="258"/>
      <c r="IJ148" s="258"/>
      <c r="IK148" s="258"/>
      <c r="IL148" s="258"/>
      <c r="IM148" s="258"/>
      <c r="IN148" s="258"/>
      <c r="IO148" s="258"/>
      <c r="IP148" s="258"/>
      <c r="IQ148" s="258"/>
      <c r="IR148" s="258"/>
      <c r="IS148" s="258"/>
      <c r="IT148" s="258"/>
      <c r="IU148" s="258"/>
      <c r="IV148" s="258"/>
      <c r="IW148" s="258"/>
    </row>
    <row r="149" spans="2:257" s="261" customFormat="1" x14ac:dyDescent="0.25">
      <c r="B149" s="278"/>
      <c r="C149" s="278"/>
      <c r="D149" s="281"/>
      <c r="E149" s="281"/>
      <c r="F149" s="281"/>
      <c r="I149" s="260"/>
      <c r="J149" s="260"/>
      <c r="K149" s="260"/>
      <c r="L149" s="260"/>
      <c r="M149" s="260"/>
      <c r="N149" s="262"/>
      <c r="O149" s="262"/>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c r="BM149" s="258"/>
      <c r="BN149" s="258"/>
      <c r="BO149" s="258"/>
      <c r="BP149" s="258"/>
      <c r="BQ149" s="258"/>
      <c r="BR149" s="258"/>
      <c r="BS149" s="258"/>
      <c r="BT149" s="258"/>
      <c r="BU149" s="258"/>
      <c r="BV149" s="258"/>
      <c r="BW149" s="258"/>
      <c r="BX149" s="258"/>
      <c r="BY149" s="258"/>
      <c r="BZ149" s="258"/>
      <c r="CA149" s="258"/>
      <c r="CB149" s="258"/>
      <c r="CC149" s="258"/>
      <c r="CD149" s="258"/>
      <c r="CE149" s="258"/>
      <c r="CF149" s="258"/>
      <c r="CG149" s="258"/>
      <c r="CH149" s="258"/>
      <c r="CI149" s="258"/>
      <c r="CJ149" s="258"/>
      <c r="CK149" s="258"/>
      <c r="CL149" s="258"/>
      <c r="CM149" s="258"/>
      <c r="CN149" s="258"/>
      <c r="CO149" s="258"/>
      <c r="CP149" s="258"/>
      <c r="CQ149" s="258"/>
      <c r="CR149" s="258"/>
      <c r="CS149" s="258"/>
      <c r="CT149" s="258"/>
      <c r="CU149" s="258"/>
      <c r="CV149" s="258"/>
      <c r="CW149" s="258"/>
      <c r="CX149" s="258"/>
      <c r="CY149" s="258"/>
      <c r="CZ149" s="258"/>
      <c r="DA149" s="258"/>
      <c r="DB149" s="258"/>
      <c r="DC149" s="258"/>
      <c r="DD149" s="258"/>
      <c r="DE149" s="258"/>
      <c r="DF149" s="258"/>
      <c r="DG149" s="258"/>
      <c r="DH149" s="258"/>
      <c r="DI149" s="258"/>
      <c r="DJ149" s="258"/>
      <c r="DK149" s="258"/>
      <c r="DL149" s="258"/>
      <c r="DM149" s="258"/>
      <c r="DN149" s="258"/>
      <c r="DO149" s="258"/>
      <c r="DP149" s="258"/>
      <c r="DQ149" s="258"/>
      <c r="DR149" s="258"/>
      <c r="DS149" s="258"/>
      <c r="DT149" s="258"/>
      <c r="DU149" s="258"/>
      <c r="DV149" s="258"/>
      <c r="DW149" s="258"/>
      <c r="DX149" s="258"/>
      <c r="DY149" s="258"/>
      <c r="DZ149" s="258"/>
      <c r="EA149" s="258"/>
      <c r="EB149" s="258"/>
      <c r="EC149" s="258"/>
      <c r="ED149" s="258"/>
      <c r="EE149" s="258"/>
      <c r="EF149" s="258"/>
      <c r="EG149" s="258"/>
      <c r="EH149" s="258"/>
      <c r="EI149" s="258"/>
      <c r="EJ149" s="258"/>
      <c r="EK149" s="258"/>
      <c r="EL149" s="258"/>
      <c r="EM149" s="258"/>
      <c r="EN149" s="258"/>
      <c r="EO149" s="258"/>
      <c r="EP149" s="258"/>
      <c r="EQ149" s="258"/>
      <c r="ER149" s="258"/>
      <c r="ES149" s="258"/>
      <c r="ET149" s="258"/>
      <c r="EU149" s="258"/>
      <c r="EV149" s="258"/>
      <c r="EW149" s="258"/>
      <c r="EX149" s="258"/>
      <c r="EY149" s="258"/>
      <c r="EZ149" s="258"/>
      <c r="FA149" s="258"/>
      <c r="FB149" s="258"/>
      <c r="FC149" s="258"/>
      <c r="FD149" s="258"/>
      <c r="FE149" s="258"/>
      <c r="FF149" s="258"/>
      <c r="FG149" s="258"/>
      <c r="FH149" s="258"/>
      <c r="FI149" s="258"/>
      <c r="FJ149" s="258"/>
      <c r="FK149" s="258"/>
      <c r="FL149" s="258"/>
      <c r="FM149" s="258"/>
      <c r="FN149" s="258"/>
      <c r="FO149" s="258"/>
      <c r="FP149" s="258"/>
      <c r="FQ149" s="258"/>
      <c r="FR149" s="258"/>
      <c r="FS149" s="258"/>
      <c r="FT149" s="258"/>
      <c r="FU149" s="258"/>
      <c r="FV149" s="258"/>
      <c r="FW149" s="258"/>
      <c r="FX149" s="258"/>
      <c r="FY149" s="258"/>
      <c r="FZ149" s="258"/>
      <c r="GA149" s="258"/>
      <c r="GB149" s="258"/>
      <c r="GC149" s="258"/>
      <c r="GD149" s="258"/>
      <c r="GE149" s="258"/>
      <c r="GF149" s="258"/>
      <c r="GG149" s="258"/>
      <c r="GH149" s="258"/>
      <c r="GI149" s="258"/>
      <c r="GJ149" s="258"/>
      <c r="GK149" s="258"/>
      <c r="GL149" s="258"/>
      <c r="GM149" s="258"/>
      <c r="GN149" s="258"/>
      <c r="GO149" s="258"/>
      <c r="GP149" s="258"/>
      <c r="GQ149" s="258"/>
      <c r="GR149" s="258"/>
      <c r="GS149" s="258"/>
      <c r="GT149" s="258"/>
      <c r="GU149" s="258"/>
      <c r="GV149" s="258"/>
      <c r="GW149" s="258"/>
      <c r="GX149" s="258"/>
      <c r="GY149" s="258"/>
      <c r="GZ149" s="258"/>
      <c r="HA149" s="258"/>
      <c r="HB149" s="258"/>
      <c r="HC149" s="258"/>
      <c r="HD149" s="258"/>
      <c r="HE149" s="258"/>
      <c r="HF149" s="258"/>
      <c r="HG149" s="258"/>
      <c r="HH149" s="258"/>
      <c r="HI149" s="258"/>
      <c r="HJ149" s="258"/>
      <c r="HK149" s="258"/>
      <c r="HL149" s="258"/>
      <c r="HM149" s="258"/>
      <c r="HN149" s="258"/>
      <c r="HO149" s="258"/>
      <c r="HP149" s="258"/>
      <c r="HQ149" s="258"/>
      <c r="HR149" s="258"/>
      <c r="HS149" s="258"/>
      <c r="HT149" s="258"/>
      <c r="HU149" s="258"/>
      <c r="HV149" s="258"/>
      <c r="HW149" s="258"/>
      <c r="HX149" s="258"/>
      <c r="HY149" s="258"/>
      <c r="HZ149" s="258"/>
      <c r="IA149" s="258"/>
      <c r="IB149" s="258"/>
      <c r="IC149" s="258"/>
      <c r="ID149" s="258"/>
      <c r="IE149" s="258"/>
      <c r="IF149" s="258"/>
      <c r="IG149" s="258"/>
      <c r="IH149" s="258"/>
      <c r="II149" s="258"/>
      <c r="IJ149" s="258"/>
      <c r="IK149" s="258"/>
      <c r="IL149" s="258"/>
      <c r="IM149" s="258"/>
      <c r="IN149" s="258"/>
      <c r="IO149" s="258"/>
      <c r="IP149" s="258"/>
      <c r="IQ149" s="258"/>
      <c r="IR149" s="258"/>
      <c r="IS149" s="258"/>
      <c r="IT149" s="258"/>
      <c r="IU149" s="258"/>
      <c r="IV149" s="258"/>
      <c r="IW149" s="258"/>
    </row>
    <row r="150" spans="2:257" s="261" customFormat="1" x14ac:dyDescent="0.25">
      <c r="B150" s="278"/>
      <c r="C150" s="278"/>
      <c r="D150" s="260"/>
      <c r="E150" s="260"/>
      <c r="F150" s="260"/>
      <c r="I150" s="260"/>
      <c r="J150" s="260"/>
      <c r="K150" s="260"/>
      <c r="L150" s="260"/>
      <c r="M150" s="260"/>
      <c r="N150" s="262"/>
      <c r="O150" s="262"/>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c r="BM150" s="258"/>
      <c r="BN150" s="258"/>
      <c r="BO150" s="258"/>
      <c r="BP150" s="258"/>
      <c r="BQ150" s="258"/>
      <c r="BR150" s="258"/>
      <c r="BS150" s="258"/>
      <c r="BT150" s="258"/>
      <c r="BU150" s="258"/>
      <c r="BV150" s="258"/>
      <c r="BW150" s="258"/>
      <c r="BX150" s="258"/>
      <c r="BY150" s="258"/>
      <c r="BZ150" s="258"/>
      <c r="CA150" s="258"/>
      <c r="CB150" s="258"/>
      <c r="CC150" s="258"/>
      <c r="CD150" s="258"/>
      <c r="CE150" s="258"/>
      <c r="CF150" s="258"/>
      <c r="CG150" s="258"/>
      <c r="CH150" s="258"/>
      <c r="CI150" s="258"/>
      <c r="CJ150" s="258"/>
      <c r="CK150" s="258"/>
      <c r="CL150" s="258"/>
      <c r="CM150" s="258"/>
      <c r="CN150" s="258"/>
      <c r="CO150" s="258"/>
      <c r="CP150" s="258"/>
      <c r="CQ150" s="258"/>
      <c r="CR150" s="258"/>
      <c r="CS150" s="258"/>
      <c r="CT150" s="258"/>
      <c r="CU150" s="258"/>
      <c r="CV150" s="258"/>
      <c r="CW150" s="258"/>
      <c r="CX150" s="258"/>
      <c r="CY150" s="258"/>
      <c r="CZ150" s="258"/>
      <c r="DA150" s="258"/>
      <c r="DB150" s="258"/>
      <c r="DC150" s="258"/>
      <c r="DD150" s="258"/>
      <c r="DE150" s="258"/>
      <c r="DF150" s="258"/>
      <c r="DG150" s="258"/>
      <c r="DH150" s="258"/>
      <c r="DI150" s="258"/>
      <c r="DJ150" s="258"/>
      <c r="DK150" s="258"/>
      <c r="DL150" s="258"/>
      <c r="DM150" s="258"/>
      <c r="DN150" s="258"/>
      <c r="DO150" s="258"/>
      <c r="DP150" s="258"/>
      <c r="DQ150" s="258"/>
      <c r="DR150" s="258"/>
      <c r="DS150" s="258"/>
      <c r="DT150" s="258"/>
      <c r="DU150" s="258"/>
      <c r="DV150" s="258"/>
      <c r="DW150" s="258"/>
      <c r="DX150" s="258"/>
      <c r="DY150" s="258"/>
      <c r="DZ150" s="258"/>
      <c r="EA150" s="258"/>
      <c r="EB150" s="258"/>
      <c r="EC150" s="258"/>
      <c r="ED150" s="258"/>
      <c r="EE150" s="258"/>
      <c r="EF150" s="258"/>
      <c r="EG150" s="258"/>
      <c r="EH150" s="258"/>
      <c r="EI150" s="258"/>
      <c r="EJ150" s="258"/>
      <c r="EK150" s="258"/>
      <c r="EL150" s="258"/>
      <c r="EM150" s="258"/>
      <c r="EN150" s="258"/>
      <c r="EO150" s="258"/>
      <c r="EP150" s="258"/>
      <c r="EQ150" s="258"/>
      <c r="ER150" s="258"/>
      <c r="ES150" s="258"/>
      <c r="ET150" s="258"/>
      <c r="EU150" s="258"/>
      <c r="EV150" s="258"/>
      <c r="EW150" s="258"/>
      <c r="EX150" s="258"/>
      <c r="EY150" s="258"/>
      <c r="EZ150" s="258"/>
      <c r="FA150" s="258"/>
      <c r="FB150" s="258"/>
      <c r="FC150" s="258"/>
      <c r="FD150" s="258"/>
      <c r="FE150" s="258"/>
      <c r="FF150" s="258"/>
      <c r="FG150" s="258"/>
      <c r="FH150" s="258"/>
      <c r="FI150" s="258"/>
      <c r="FJ150" s="258"/>
      <c r="FK150" s="258"/>
      <c r="FL150" s="258"/>
      <c r="FM150" s="258"/>
      <c r="FN150" s="258"/>
      <c r="FO150" s="258"/>
      <c r="FP150" s="258"/>
      <c r="FQ150" s="258"/>
      <c r="FR150" s="258"/>
      <c r="FS150" s="258"/>
      <c r="FT150" s="258"/>
      <c r="FU150" s="258"/>
      <c r="FV150" s="258"/>
      <c r="FW150" s="258"/>
      <c r="FX150" s="258"/>
      <c r="FY150" s="258"/>
      <c r="FZ150" s="258"/>
      <c r="GA150" s="258"/>
      <c r="GB150" s="258"/>
      <c r="GC150" s="258"/>
      <c r="GD150" s="258"/>
      <c r="GE150" s="258"/>
      <c r="GF150" s="258"/>
      <c r="GG150" s="258"/>
      <c r="GH150" s="258"/>
      <c r="GI150" s="258"/>
      <c r="GJ150" s="258"/>
      <c r="GK150" s="258"/>
      <c r="GL150" s="258"/>
      <c r="GM150" s="258"/>
      <c r="GN150" s="258"/>
      <c r="GO150" s="258"/>
      <c r="GP150" s="258"/>
      <c r="GQ150" s="258"/>
      <c r="GR150" s="258"/>
      <c r="GS150" s="258"/>
      <c r="GT150" s="258"/>
      <c r="GU150" s="258"/>
      <c r="GV150" s="258"/>
      <c r="GW150" s="258"/>
      <c r="GX150" s="258"/>
      <c r="GY150" s="258"/>
      <c r="GZ150" s="258"/>
      <c r="HA150" s="258"/>
      <c r="HB150" s="258"/>
      <c r="HC150" s="258"/>
      <c r="HD150" s="258"/>
      <c r="HE150" s="258"/>
      <c r="HF150" s="258"/>
      <c r="HG150" s="258"/>
      <c r="HH150" s="258"/>
      <c r="HI150" s="258"/>
      <c r="HJ150" s="258"/>
      <c r="HK150" s="258"/>
      <c r="HL150" s="258"/>
      <c r="HM150" s="258"/>
      <c r="HN150" s="258"/>
      <c r="HO150" s="258"/>
      <c r="HP150" s="258"/>
      <c r="HQ150" s="258"/>
      <c r="HR150" s="258"/>
      <c r="HS150" s="258"/>
      <c r="HT150" s="258"/>
      <c r="HU150" s="258"/>
      <c r="HV150" s="258"/>
      <c r="HW150" s="258"/>
      <c r="HX150" s="258"/>
      <c r="HY150" s="258"/>
      <c r="HZ150" s="258"/>
      <c r="IA150" s="258"/>
      <c r="IB150" s="258"/>
      <c r="IC150" s="258"/>
      <c r="ID150" s="258"/>
      <c r="IE150" s="258"/>
      <c r="IF150" s="258"/>
      <c r="IG150" s="258"/>
      <c r="IH150" s="258"/>
      <c r="II150" s="258"/>
      <c r="IJ150" s="258"/>
      <c r="IK150" s="258"/>
      <c r="IL150" s="258"/>
      <c r="IM150" s="258"/>
      <c r="IN150" s="258"/>
      <c r="IO150" s="258"/>
      <c r="IP150" s="258"/>
      <c r="IQ150" s="258"/>
      <c r="IR150" s="258"/>
      <c r="IS150" s="258"/>
      <c r="IT150" s="258"/>
      <c r="IU150" s="258"/>
      <c r="IV150" s="258"/>
      <c r="IW150" s="258"/>
    </row>
    <row r="151" spans="2:257" s="261" customFormat="1" x14ac:dyDescent="0.25">
      <c r="B151" s="278"/>
      <c r="C151" s="278"/>
      <c r="D151" s="260"/>
      <c r="E151" s="260"/>
      <c r="F151" s="260"/>
      <c r="I151" s="260"/>
      <c r="J151" s="260"/>
      <c r="K151" s="260"/>
      <c r="L151" s="260"/>
      <c r="M151" s="260"/>
      <c r="N151" s="262"/>
      <c r="O151" s="262"/>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c r="BM151" s="258"/>
      <c r="BN151" s="258"/>
      <c r="BO151" s="258"/>
      <c r="BP151" s="258"/>
      <c r="BQ151" s="258"/>
      <c r="BR151" s="258"/>
      <c r="BS151" s="258"/>
      <c r="BT151" s="258"/>
      <c r="BU151" s="258"/>
      <c r="BV151" s="258"/>
      <c r="BW151" s="258"/>
      <c r="BX151" s="258"/>
      <c r="BY151" s="258"/>
      <c r="BZ151" s="258"/>
      <c r="CA151" s="258"/>
      <c r="CB151" s="258"/>
      <c r="CC151" s="258"/>
      <c r="CD151" s="258"/>
      <c r="CE151" s="258"/>
      <c r="CF151" s="258"/>
      <c r="CG151" s="258"/>
      <c r="CH151" s="258"/>
      <c r="CI151" s="258"/>
      <c r="CJ151" s="258"/>
      <c r="CK151" s="258"/>
      <c r="CL151" s="258"/>
      <c r="CM151" s="258"/>
      <c r="CN151" s="258"/>
      <c r="CO151" s="258"/>
      <c r="CP151" s="258"/>
      <c r="CQ151" s="258"/>
      <c r="CR151" s="258"/>
      <c r="CS151" s="258"/>
      <c r="CT151" s="258"/>
      <c r="CU151" s="258"/>
      <c r="CV151" s="258"/>
      <c r="CW151" s="258"/>
      <c r="CX151" s="258"/>
      <c r="CY151" s="258"/>
      <c r="CZ151" s="258"/>
      <c r="DA151" s="258"/>
      <c r="DB151" s="258"/>
      <c r="DC151" s="258"/>
      <c r="DD151" s="258"/>
      <c r="DE151" s="258"/>
      <c r="DF151" s="258"/>
      <c r="DG151" s="258"/>
      <c r="DH151" s="258"/>
      <c r="DI151" s="258"/>
      <c r="DJ151" s="258"/>
      <c r="DK151" s="258"/>
      <c r="DL151" s="258"/>
      <c r="DM151" s="258"/>
      <c r="DN151" s="258"/>
      <c r="DO151" s="258"/>
      <c r="DP151" s="258"/>
      <c r="DQ151" s="258"/>
      <c r="DR151" s="258"/>
      <c r="DS151" s="258"/>
      <c r="DT151" s="258"/>
      <c r="DU151" s="258"/>
      <c r="DV151" s="258"/>
      <c r="DW151" s="258"/>
      <c r="DX151" s="258"/>
      <c r="DY151" s="258"/>
      <c r="DZ151" s="258"/>
      <c r="EA151" s="258"/>
      <c r="EB151" s="258"/>
      <c r="EC151" s="258"/>
      <c r="ED151" s="258"/>
      <c r="EE151" s="258"/>
      <c r="EF151" s="258"/>
      <c r="EG151" s="258"/>
      <c r="EH151" s="258"/>
      <c r="EI151" s="258"/>
      <c r="EJ151" s="258"/>
      <c r="EK151" s="258"/>
      <c r="EL151" s="258"/>
      <c r="EM151" s="258"/>
      <c r="EN151" s="258"/>
      <c r="EO151" s="258"/>
      <c r="EP151" s="258"/>
      <c r="EQ151" s="258"/>
      <c r="ER151" s="258"/>
      <c r="ES151" s="258"/>
      <c r="ET151" s="258"/>
      <c r="EU151" s="258"/>
      <c r="EV151" s="258"/>
      <c r="EW151" s="258"/>
      <c r="EX151" s="258"/>
      <c r="EY151" s="258"/>
      <c r="EZ151" s="258"/>
      <c r="FA151" s="258"/>
      <c r="FB151" s="258"/>
      <c r="FC151" s="258"/>
      <c r="FD151" s="258"/>
      <c r="FE151" s="258"/>
      <c r="FF151" s="258"/>
      <c r="FG151" s="258"/>
      <c r="FH151" s="258"/>
      <c r="FI151" s="258"/>
      <c r="FJ151" s="258"/>
      <c r="FK151" s="258"/>
      <c r="FL151" s="258"/>
      <c r="FM151" s="258"/>
      <c r="FN151" s="258"/>
      <c r="FO151" s="258"/>
      <c r="FP151" s="258"/>
      <c r="FQ151" s="258"/>
      <c r="FR151" s="258"/>
      <c r="FS151" s="258"/>
      <c r="FT151" s="258"/>
      <c r="FU151" s="258"/>
      <c r="FV151" s="258"/>
      <c r="FW151" s="258"/>
      <c r="FX151" s="258"/>
      <c r="FY151" s="258"/>
      <c r="FZ151" s="258"/>
      <c r="GA151" s="258"/>
      <c r="GB151" s="258"/>
      <c r="GC151" s="258"/>
      <c r="GD151" s="258"/>
      <c r="GE151" s="258"/>
      <c r="GF151" s="258"/>
      <c r="GG151" s="258"/>
      <c r="GH151" s="258"/>
      <c r="GI151" s="258"/>
      <c r="GJ151" s="258"/>
      <c r="GK151" s="258"/>
      <c r="GL151" s="258"/>
      <c r="GM151" s="258"/>
      <c r="GN151" s="258"/>
      <c r="GO151" s="258"/>
      <c r="GP151" s="258"/>
      <c r="GQ151" s="258"/>
      <c r="GR151" s="258"/>
      <c r="GS151" s="258"/>
      <c r="GT151" s="258"/>
      <c r="GU151" s="258"/>
      <c r="GV151" s="258"/>
      <c r="GW151" s="258"/>
      <c r="GX151" s="258"/>
      <c r="GY151" s="258"/>
      <c r="GZ151" s="258"/>
      <c r="HA151" s="258"/>
      <c r="HB151" s="258"/>
      <c r="HC151" s="258"/>
      <c r="HD151" s="258"/>
      <c r="HE151" s="258"/>
      <c r="HF151" s="258"/>
      <c r="HG151" s="258"/>
      <c r="HH151" s="258"/>
      <c r="HI151" s="258"/>
      <c r="HJ151" s="258"/>
      <c r="HK151" s="258"/>
      <c r="HL151" s="258"/>
      <c r="HM151" s="258"/>
      <c r="HN151" s="258"/>
      <c r="HO151" s="258"/>
      <c r="HP151" s="258"/>
      <c r="HQ151" s="258"/>
      <c r="HR151" s="258"/>
      <c r="HS151" s="258"/>
      <c r="HT151" s="258"/>
      <c r="HU151" s="258"/>
      <c r="HV151" s="258"/>
      <c r="HW151" s="258"/>
      <c r="HX151" s="258"/>
      <c r="HY151" s="258"/>
      <c r="HZ151" s="258"/>
      <c r="IA151" s="258"/>
      <c r="IB151" s="258"/>
      <c r="IC151" s="258"/>
      <c r="ID151" s="258"/>
      <c r="IE151" s="258"/>
      <c r="IF151" s="258"/>
      <c r="IG151" s="258"/>
      <c r="IH151" s="258"/>
      <c r="II151" s="258"/>
      <c r="IJ151" s="258"/>
      <c r="IK151" s="258"/>
      <c r="IL151" s="258"/>
      <c r="IM151" s="258"/>
      <c r="IN151" s="258"/>
      <c r="IO151" s="258"/>
      <c r="IP151" s="258"/>
      <c r="IQ151" s="258"/>
      <c r="IR151" s="258"/>
      <c r="IS151" s="258"/>
      <c r="IT151" s="258"/>
      <c r="IU151" s="258"/>
      <c r="IV151" s="258"/>
      <c r="IW151" s="258"/>
    </row>
    <row r="152" spans="2:257" s="261" customFormat="1" x14ac:dyDescent="0.25">
      <c r="B152" s="278"/>
      <c r="C152" s="278"/>
      <c r="D152" s="260"/>
      <c r="E152" s="260"/>
      <c r="F152" s="260"/>
      <c r="I152" s="260"/>
      <c r="J152" s="260"/>
      <c r="K152" s="260"/>
      <c r="L152" s="260"/>
      <c r="M152" s="260"/>
      <c r="N152" s="262"/>
      <c r="O152" s="262"/>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c r="BM152" s="258"/>
      <c r="BN152" s="258"/>
      <c r="BO152" s="258"/>
      <c r="BP152" s="258"/>
      <c r="BQ152" s="258"/>
      <c r="BR152" s="258"/>
      <c r="BS152" s="258"/>
      <c r="BT152" s="258"/>
      <c r="BU152" s="258"/>
      <c r="BV152" s="258"/>
      <c r="BW152" s="258"/>
      <c r="BX152" s="258"/>
      <c r="BY152" s="258"/>
      <c r="BZ152" s="258"/>
      <c r="CA152" s="258"/>
      <c r="CB152" s="258"/>
      <c r="CC152" s="258"/>
      <c r="CD152" s="258"/>
      <c r="CE152" s="258"/>
      <c r="CF152" s="258"/>
      <c r="CG152" s="258"/>
      <c r="CH152" s="258"/>
      <c r="CI152" s="258"/>
      <c r="CJ152" s="258"/>
      <c r="CK152" s="258"/>
      <c r="CL152" s="258"/>
      <c r="CM152" s="258"/>
      <c r="CN152" s="258"/>
      <c r="CO152" s="258"/>
      <c r="CP152" s="258"/>
      <c r="CQ152" s="258"/>
      <c r="CR152" s="258"/>
      <c r="CS152" s="258"/>
      <c r="CT152" s="258"/>
      <c r="CU152" s="258"/>
      <c r="CV152" s="258"/>
      <c r="CW152" s="258"/>
      <c r="CX152" s="258"/>
      <c r="CY152" s="258"/>
      <c r="CZ152" s="258"/>
      <c r="DA152" s="258"/>
      <c r="DB152" s="258"/>
      <c r="DC152" s="258"/>
      <c r="DD152" s="258"/>
      <c r="DE152" s="258"/>
      <c r="DF152" s="258"/>
      <c r="DG152" s="258"/>
      <c r="DH152" s="258"/>
      <c r="DI152" s="258"/>
      <c r="DJ152" s="258"/>
      <c r="DK152" s="258"/>
      <c r="DL152" s="258"/>
      <c r="DM152" s="258"/>
      <c r="DN152" s="258"/>
      <c r="DO152" s="258"/>
      <c r="DP152" s="258"/>
      <c r="DQ152" s="258"/>
      <c r="DR152" s="258"/>
      <c r="DS152" s="258"/>
      <c r="DT152" s="258"/>
      <c r="DU152" s="258"/>
      <c r="DV152" s="258"/>
      <c r="DW152" s="258"/>
      <c r="DX152" s="258"/>
      <c r="DY152" s="258"/>
      <c r="DZ152" s="258"/>
      <c r="EA152" s="258"/>
      <c r="EB152" s="258"/>
      <c r="EC152" s="258"/>
      <c r="ED152" s="258"/>
      <c r="EE152" s="258"/>
      <c r="EF152" s="258"/>
      <c r="EG152" s="258"/>
      <c r="EH152" s="258"/>
      <c r="EI152" s="258"/>
      <c r="EJ152" s="258"/>
      <c r="EK152" s="258"/>
      <c r="EL152" s="258"/>
      <c r="EM152" s="258"/>
      <c r="EN152" s="258"/>
      <c r="EO152" s="258"/>
      <c r="EP152" s="258"/>
      <c r="EQ152" s="258"/>
      <c r="ER152" s="258"/>
      <c r="ES152" s="258"/>
      <c r="ET152" s="258"/>
      <c r="EU152" s="258"/>
      <c r="EV152" s="258"/>
      <c r="EW152" s="258"/>
      <c r="EX152" s="258"/>
      <c r="EY152" s="258"/>
      <c r="EZ152" s="258"/>
      <c r="FA152" s="258"/>
      <c r="FB152" s="258"/>
      <c r="FC152" s="258"/>
      <c r="FD152" s="258"/>
      <c r="FE152" s="258"/>
      <c r="FF152" s="258"/>
      <c r="FG152" s="258"/>
      <c r="FH152" s="258"/>
      <c r="FI152" s="258"/>
      <c r="FJ152" s="258"/>
      <c r="FK152" s="258"/>
      <c r="FL152" s="258"/>
      <c r="FM152" s="258"/>
      <c r="FN152" s="258"/>
      <c r="FO152" s="258"/>
      <c r="FP152" s="258"/>
      <c r="FQ152" s="258"/>
      <c r="FR152" s="258"/>
      <c r="FS152" s="258"/>
      <c r="FT152" s="258"/>
      <c r="FU152" s="258"/>
      <c r="FV152" s="258"/>
      <c r="FW152" s="258"/>
      <c r="FX152" s="258"/>
      <c r="FY152" s="258"/>
      <c r="FZ152" s="258"/>
      <c r="GA152" s="258"/>
      <c r="GB152" s="258"/>
      <c r="GC152" s="258"/>
      <c r="GD152" s="258"/>
      <c r="GE152" s="258"/>
      <c r="GF152" s="258"/>
      <c r="GG152" s="258"/>
      <c r="GH152" s="258"/>
      <c r="GI152" s="258"/>
      <c r="GJ152" s="258"/>
      <c r="GK152" s="258"/>
      <c r="GL152" s="258"/>
      <c r="GM152" s="258"/>
      <c r="GN152" s="258"/>
      <c r="GO152" s="258"/>
      <c r="GP152" s="258"/>
      <c r="GQ152" s="258"/>
      <c r="GR152" s="258"/>
      <c r="GS152" s="258"/>
      <c r="GT152" s="258"/>
      <c r="GU152" s="258"/>
      <c r="GV152" s="258"/>
      <c r="GW152" s="258"/>
      <c r="GX152" s="258"/>
      <c r="GY152" s="258"/>
      <c r="GZ152" s="258"/>
      <c r="HA152" s="258"/>
      <c r="HB152" s="258"/>
      <c r="HC152" s="258"/>
      <c r="HD152" s="258"/>
      <c r="HE152" s="258"/>
      <c r="HF152" s="258"/>
      <c r="HG152" s="258"/>
      <c r="HH152" s="258"/>
      <c r="HI152" s="258"/>
      <c r="HJ152" s="258"/>
      <c r="HK152" s="258"/>
      <c r="HL152" s="258"/>
      <c r="HM152" s="258"/>
      <c r="HN152" s="258"/>
      <c r="HO152" s="258"/>
      <c r="HP152" s="258"/>
      <c r="HQ152" s="258"/>
      <c r="HR152" s="258"/>
      <c r="HS152" s="258"/>
      <c r="HT152" s="258"/>
      <c r="HU152" s="258"/>
      <c r="HV152" s="258"/>
      <c r="HW152" s="258"/>
      <c r="HX152" s="258"/>
      <c r="HY152" s="258"/>
      <c r="HZ152" s="258"/>
      <c r="IA152" s="258"/>
      <c r="IB152" s="258"/>
      <c r="IC152" s="258"/>
      <c r="ID152" s="258"/>
      <c r="IE152" s="258"/>
      <c r="IF152" s="258"/>
      <c r="IG152" s="258"/>
      <c r="IH152" s="258"/>
      <c r="II152" s="258"/>
      <c r="IJ152" s="258"/>
      <c r="IK152" s="258"/>
      <c r="IL152" s="258"/>
      <c r="IM152" s="258"/>
      <c r="IN152" s="258"/>
      <c r="IO152" s="258"/>
      <c r="IP152" s="258"/>
      <c r="IQ152" s="258"/>
      <c r="IR152" s="258"/>
      <c r="IS152" s="258"/>
      <c r="IT152" s="258"/>
      <c r="IU152" s="258"/>
      <c r="IV152" s="258"/>
      <c r="IW152" s="258"/>
    </row>
    <row r="153" spans="2:257" s="261" customFormat="1" x14ac:dyDescent="0.25">
      <c r="B153" s="278"/>
      <c r="C153" s="278"/>
      <c r="D153" s="260"/>
      <c r="E153" s="260"/>
      <c r="F153" s="260"/>
      <c r="I153" s="260"/>
      <c r="J153" s="260"/>
      <c r="K153" s="260"/>
      <c r="L153" s="260"/>
      <c r="M153" s="260"/>
      <c r="N153" s="262"/>
      <c r="O153" s="262"/>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c r="BM153" s="258"/>
      <c r="BN153" s="258"/>
      <c r="BO153" s="258"/>
      <c r="BP153" s="258"/>
      <c r="BQ153" s="258"/>
      <c r="BR153" s="258"/>
      <c r="BS153" s="258"/>
      <c r="BT153" s="258"/>
      <c r="BU153" s="258"/>
      <c r="BV153" s="258"/>
      <c r="BW153" s="258"/>
      <c r="BX153" s="258"/>
      <c r="BY153" s="258"/>
      <c r="BZ153" s="258"/>
      <c r="CA153" s="258"/>
      <c r="CB153" s="258"/>
      <c r="CC153" s="258"/>
      <c r="CD153" s="258"/>
      <c r="CE153" s="258"/>
      <c r="CF153" s="258"/>
      <c r="CG153" s="258"/>
      <c r="CH153" s="258"/>
      <c r="CI153" s="258"/>
      <c r="CJ153" s="258"/>
      <c r="CK153" s="258"/>
      <c r="CL153" s="258"/>
      <c r="CM153" s="258"/>
      <c r="CN153" s="258"/>
      <c r="CO153" s="258"/>
      <c r="CP153" s="258"/>
      <c r="CQ153" s="258"/>
      <c r="CR153" s="258"/>
      <c r="CS153" s="258"/>
      <c r="CT153" s="258"/>
      <c r="CU153" s="258"/>
      <c r="CV153" s="258"/>
      <c r="CW153" s="258"/>
      <c r="CX153" s="258"/>
      <c r="CY153" s="258"/>
      <c r="CZ153" s="258"/>
      <c r="DA153" s="258"/>
      <c r="DB153" s="258"/>
      <c r="DC153" s="258"/>
      <c r="DD153" s="258"/>
      <c r="DE153" s="258"/>
      <c r="DF153" s="258"/>
      <c r="DG153" s="258"/>
      <c r="DH153" s="258"/>
      <c r="DI153" s="258"/>
      <c r="DJ153" s="258"/>
      <c r="DK153" s="258"/>
      <c r="DL153" s="258"/>
      <c r="DM153" s="258"/>
      <c r="DN153" s="258"/>
      <c r="DO153" s="258"/>
      <c r="DP153" s="258"/>
      <c r="DQ153" s="258"/>
      <c r="DR153" s="258"/>
      <c r="DS153" s="258"/>
      <c r="DT153" s="258"/>
      <c r="DU153" s="258"/>
      <c r="DV153" s="258"/>
      <c r="DW153" s="258"/>
      <c r="DX153" s="258"/>
      <c r="DY153" s="258"/>
      <c r="DZ153" s="258"/>
      <c r="EA153" s="258"/>
      <c r="EB153" s="258"/>
      <c r="EC153" s="258"/>
      <c r="ED153" s="258"/>
      <c r="EE153" s="258"/>
      <c r="EF153" s="258"/>
      <c r="EG153" s="258"/>
      <c r="EH153" s="258"/>
      <c r="EI153" s="258"/>
      <c r="EJ153" s="258"/>
      <c r="EK153" s="258"/>
      <c r="EL153" s="258"/>
      <c r="EM153" s="258"/>
      <c r="EN153" s="258"/>
      <c r="EO153" s="258"/>
      <c r="EP153" s="258"/>
      <c r="EQ153" s="258"/>
      <c r="ER153" s="258"/>
      <c r="ES153" s="258"/>
      <c r="ET153" s="258"/>
      <c r="EU153" s="258"/>
      <c r="EV153" s="258"/>
      <c r="EW153" s="258"/>
      <c r="EX153" s="258"/>
      <c r="EY153" s="258"/>
      <c r="EZ153" s="258"/>
      <c r="FA153" s="258"/>
      <c r="FB153" s="258"/>
      <c r="FC153" s="258"/>
      <c r="FD153" s="258"/>
      <c r="FE153" s="258"/>
      <c r="FF153" s="258"/>
      <c r="FG153" s="258"/>
      <c r="FH153" s="258"/>
      <c r="FI153" s="258"/>
      <c r="FJ153" s="258"/>
      <c r="FK153" s="258"/>
      <c r="FL153" s="258"/>
      <c r="FM153" s="258"/>
      <c r="FN153" s="258"/>
      <c r="FO153" s="258"/>
      <c r="FP153" s="258"/>
      <c r="FQ153" s="258"/>
      <c r="FR153" s="258"/>
      <c r="FS153" s="258"/>
      <c r="FT153" s="258"/>
      <c r="FU153" s="258"/>
      <c r="FV153" s="258"/>
      <c r="FW153" s="258"/>
      <c r="FX153" s="258"/>
      <c r="FY153" s="258"/>
      <c r="FZ153" s="258"/>
      <c r="GA153" s="258"/>
      <c r="GB153" s="258"/>
      <c r="GC153" s="258"/>
      <c r="GD153" s="258"/>
      <c r="GE153" s="258"/>
      <c r="GF153" s="258"/>
      <c r="GG153" s="258"/>
      <c r="GH153" s="258"/>
      <c r="GI153" s="258"/>
      <c r="GJ153" s="258"/>
      <c r="GK153" s="258"/>
      <c r="GL153" s="258"/>
      <c r="GM153" s="258"/>
      <c r="GN153" s="258"/>
      <c r="GO153" s="258"/>
      <c r="GP153" s="258"/>
      <c r="GQ153" s="258"/>
      <c r="GR153" s="258"/>
      <c r="GS153" s="258"/>
      <c r="GT153" s="258"/>
      <c r="GU153" s="258"/>
      <c r="GV153" s="258"/>
      <c r="GW153" s="258"/>
      <c r="GX153" s="258"/>
      <c r="GY153" s="258"/>
      <c r="GZ153" s="258"/>
      <c r="HA153" s="258"/>
      <c r="HB153" s="258"/>
      <c r="HC153" s="258"/>
      <c r="HD153" s="258"/>
      <c r="HE153" s="258"/>
      <c r="HF153" s="258"/>
      <c r="HG153" s="258"/>
      <c r="HH153" s="258"/>
      <c r="HI153" s="258"/>
      <c r="HJ153" s="258"/>
      <c r="HK153" s="258"/>
      <c r="HL153" s="258"/>
      <c r="HM153" s="258"/>
      <c r="HN153" s="258"/>
      <c r="HO153" s="258"/>
      <c r="HP153" s="258"/>
      <c r="HQ153" s="258"/>
      <c r="HR153" s="258"/>
      <c r="HS153" s="258"/>
      <c r="HT153" s="258"/>
      <c r="HU153" s="258"/>
      <c r="HV153" s="258"/>
      <c r="HW153" s="258"/>
      <c r="HX153" s="258"/>
      <c r="HY153" s="258"/>
      <c r="HZ153" s="258"/>
      <c r="IA153" s="258"/>
      <c r="IB153" s="258"/>
      <c r="IC153" s="258"/>
      <c r="ID153" s="258"/>
      <c r="IE153" s="258"/>
      <c r="IF153" s="258"/>
      <c r="IG153" s="258"/>
      <c r="IH153" s="258"/>
      <c r="II153" s="258"/>
      <c r="IJ153" s="258"/>
      <c r="IK153" s="258"/>
      <c r="IL153" s="258"/>
      <c r="IM153" s="258"/>
      <c r="IN153" s="258"/>
      <c r="IO153" s="258"/>
      <c r="IP153" s="258"/>
      <c r="IQ153" s="258"/>
      <c r="IR153" s="258"/>
      <c r="IS153" s="258"/>
      <c r="IT153" s="258"/>
      <c r="IU153" s="258"/>
      <c r="IV153" s="258"/>
      <c r="IW153" s="258"/>
    </row>
    <row r="154" spans="2:257" s="261" customFormat="1" x14ac:dyDescent="0.25">
      <c r="B154" s="278"/>
      <c r="C154" s="278"/>
      <c r="D154" s="260"/>
      <c r="E154" s="260"/>
      <c r="F154" s="260"/>
      <c r="I154" s="260"/>
      <c r="J154" s="260"/>
      <c r="K154" s="260"/>
      <c r="L154" s="260"/>
      <c r="M154" s="260"/>
      <c r="N154" s="262"/>
      <c r="O154" s="262"/>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c r="BM154" s="258"/>
      <c r="BN154" s="258"/>
      <c r="BO154" s="258"/>
      <c r="BP154" s="258"/>
      <c r="BQ154" s="258"/>
      <c r="BR154" s="258"/>
      <c r="BS154" s="258"/>
      <c r="BT154" s="258"/>
      <c r="BU154" s="258"/>
      <c r="BV154" s="258"/>
      <c r="BW154" s="258"/>
      <c r="BX154" s="258"/>
      <c r="BY154" s="258"/>
      <c r="BZ154" s="258"/>
      <c r="CA154" s="258"/>
      <c r="CB154" s="258"/>
      <c r="CC154" s="258"/>
      <c r="CD154" s="258"/>
      <c r="CE154" s="258"/>
      <c r="CF154" s="258"/>
      <c r="CG154" s="258"/>
      <c r="CH154" s="258"/>
      <c r="CI154" s="258"/>
      <c r="CJ154" s="258"/>
      <c r="CK154" s="258"/>
      <c r="CL154" s="258"/>
      <c r="CM154" s="258"/>
      <c r="CN154" s="258"/>
      <c r="CO154" s="258"/>
      <c r="CP154" s="258"/>
      <c r="CQ154" s="258"/>
      <c r="CR154" s="258"/>
      <c r="CS154" s="258"/>
      <c r="CT154" s="258"/>
      <c r="CU154" s="258"/>
      <c r="CV154" s="258"/>
      <c r="CW154" s="258"/>
      <c r="CX154" s="258"/>
      <c r="CY154" s="258"/>
      <c r="CZ154" s="258"/>
      <c r="DA154" s="258"/>
      <c r="DB154" s="258"/>
      <c r="DC154" s="258"/>
      <c r="DD154" s="258"/>
      <c r="DE154" s="258"/>
      <c r="DF154" s="258"/>
      <c r="DG154" s="258"/>
      <c r="DH154" s="258"/>
      <c r="DI154" s="258"/>
      <c r="DJ154" s="258"/>
      <c r="DK154" s="258"/>
      <c r="DL154" s="258"/>
      <c r="DM154" s="258"/>
      <c r="DN154" s="258"/>
      <c r="DO154" s="258"/>
      <c r="DP154" s="258"/>
      <c r="DQ154" s="258"/>
      <c r="DR154" s="258"/>
      <c r="DS154" s="258"/>
      <c r="DT154" s="258"/>
      <c r="DU154" s="258"/>
      <c r="DV154" s="258"/>
      <c r="DW154" s="258"/>
      <c r="DX154" s="258"/>
      <c r="DY154" s="258"/>
      <c r="DZ154" s="258"/>
      <c r="EA154" s="258"/>
      <c r="EB154" s="258"/>
      <c r="EC154" s="258"/>
      <c r="ED154" s="258"/>
      <c r="EE154" s="258"/>
      <c r="EF154" s="258"/>
      <c r="EG154" s="258"/>
      <c r="EH154" s="258"/>
      <c r="EI154" s="258"/>
      <c r="EJ154" s="258"/>
      <c r="EK154" s="258"/>
      <c r="EL154" s="258"/>
      <c r="EM154" s="258"/>
      <c r="EN154" s="258"/>
      <c r="EO154" s="258"/>
      <c r="EP154" s="258"/>
      <c r="EQ154" s="258"/>
      <c r="ER154" s="258"/>
      <c r="ES154" s="258"/>
      <c r="ET154" s="258"/>
      <c r="EU154" s="258"/>
      <c r="EV154" s="258"/>
      <c r="EW154" s="258"/>
      <c r="EX154" s="258"/>
      <c r="EY154" s="258"/>
      <c r="EZ154" s="258"/>
      <c r="FA154" s="258"/>
      <c r="FB154" s="258"/>
      <c r="FC154" s="258"/>
      <c r="FD154" s="258"/>
      <c r="FE154" s="258"/>
      <c r="FF154" s="258"/>
      <c r="FG154" s="258"/>
      <c r="FH154" s="258"/>
      <c r="FI154" s="258"/>
      <c r="FJ154" s="258"/>
      <c r="FK154" s="258"/>
      <c r="FL154" s="258"/>
      <c r="FM154" s="258"/>
      <c r="FN154" s="258"/>
      <c r="FO154" s="258"/>
      <c r="FP154" s="258"/>
      <c r="FQ154" s="258"/>
      <c r="FR154" s="258"/>
      <c r="FS154" s="258"/>
      <c r="FT154" s="258"/>
      <c r="FU154" s="258"/>
      <c r="FV154" s="258"/>
      <c r="FW154" s="258"/>
      <c r="FX154" s="258"/>
      <c r="FY154" s="258"/>
      <c r="FZ154" s="258"/>
      <c r="GA154" s="258"/>
      <c r="GB154" s="258"/>
      <c r="GC154" s="258"/>
      <c r="GD154" s="258"/>
      <c r="GE154" s="258"/>
      <c r="GF154" s="258"/>
      <c r="GG154" s="258"/>
      <c r="GH154" s="258"/>
      <c r="GI154" s="258"/>
      <c r="GJ154" s="258"/>
      <c r="GK154" s="258"/>
      <c r="GL154" s="258"/>
      <c r="GM154" s="258"/>
      <c r="GN154" s="258"/>
      <c r="GO154" s="258"/>
      <c r="GP154" s="258"/>
      <c r="GQ154" s="258"/>
      <c r="GR154" s="258"/>
      <c r="GS154" s="258"/>
      <c r="GT154" s="258"/>
      <c r="GU154" s="258"/>
      <c r="GV154" s="258"/>
      <c r="GW154" s="258"/>
      <c r="GX154" s="258"/>
      <c r="GY154" s="258"/>
      <c r="GZ154" s="258"/>
      <c r="HA154" s="258"/>
      <c r="HB154" s="258"/>
      <c r="HC154" s="258"/>
      <c r="HD154" s="258"/>
      <c r="HE154" s="258"/>
      <c r="HF154" s="258"/>
      <c r="HG154" s="258"/>
      <c r="HH154" s="258"/>
      <c r="HI154" s="258"/>
      <c r="HJ154" s="258"/>
      <c r="HK154" s="258"/>
      <c r="HL154" s="258"/>
      <c r="HM154" s="258"/>
      <c r="HN154" s="258"/>
      <c r="HO154" s="258"/>
      <c r="HP154" s="258"/>
      <c r="HQ154" s="258"/>
      <c r="HR154" s="258"/>
      <c r="HS154" s="258"/>
      <c r="HT154" s="258"/>
      <c r="HU154" s="258"/>
      <c r="HV154" s="258"/>
      <c r="HW154" s="258"/>
      <c r="HX154" s="258"/>
      <c r="HY154" s="258"/>
      <c r="HZ154" s="258"/>
      <c r="IA154" s="258"/>
      <c r="IB154" s="258"/>
      <c r="IC154" s="258"/>
      <c r="ID154" s="258"/>
      <c r="IE154" s="258"/>
      <c r="IF154" s="258"/>
      <c r="IG154" s="258"/>
      <c r="IH154" s="258"/>
      <c r="II154" s="258"/>
      <c r="IJ154" s="258"/>
      <c r="IK154" s="258"/>
      <c r="IL154" s="258"/>
      <c r="IM154" s="258"/>
      <c r="IN154" s="258"/>
      <c r="IO154" s="258"/>
      <c r="IP154" s="258"/>
      <c r="IQ154" s="258"/>
      <c r="IR154" s="258"/>
      <c r="IS154" s="258"/>
      <c r="IT154" s="258"/>
      <c r="IU154" s="258"/>
      <c r="IV154" s="258"/>
      <c r="IW154" s="258"/>
    </row>
    <row r="155" spans="2:257" s="261" customFormat="1" x14ac:dyDescent="0.25">
      <c r="B155" s="278"/>
      <c r="C155" s="278"/>
      <c r="D155" s="260"/>
      <c r="E155" s="260"/>
      <c r="F155" s="260"/>
      <c r="I155" s="260"/>
      <c r="J155" s="260"/>
      <c r="K155" s="260"/>
      <c r="L155" s="260"/>
      <c r="M155" s="260"/>
      <c r="N155" s="262"/>
      <c r="O155" s="262"/>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c r="BM155" s="258"/>
      <c r="BN155" s="258"/>
      <c r="BO155" s="258"/>
      <c r="BP155" s="258"/>
      <c r="BQ155" s="258"/>
      <c r="BR155" s="258"/>
      <c r="BS155" s="258"/>
      <c r="BT155" s="258"/>
      <c r="BU155" s="258"/>
      <c r="BV155" s="258"/>
      <c r="BW155" s="258"/>
      <c r="BX155" s="258"/>
      <c r="BY155" s="258"/>
      <c r="BZ155" s="258"/>
      <c r="CA155" s="258"/>
      <c r="CB155" s="258"/>
      <c r="CC155" s="258"/>
      <c r="CD155" s="258"/>
      <c r="CE155" s="258"/>
      <c r="CF155" s="258"/>
      <c r="CG155" s="258"/>
      <c r="CH155" s="258"/>
      <c r="CI155" s="258"/>
      <c r="CJ155" s="258"/>
      <c r="CK155" s="258"/>
      <c r="CL155" s="258"/>
      <c r="CM155" s="258"/>
      <c r="CN155" s="258"/>
      <c r="CO155" s="258"/>
      <c r="CP155" s="258"/>
      <c r="CQ155" s="258"/>
      <c r="CR155" s="258"/>
      <c r="CS155" s="258"/>
      <c r="CT155" s="258"/>
      <c r="CU155" s="258"/>
      <c r="CV155" s="258"/>
      <c r="CW155" s="258"/>
      <c r="CX155" s="258"/>
      <c r="CY155" s="258"/>
      <c r="CZ155" s="258"/>
      <c r="DA155" s="258"/>
      <c r="DB155" s="258"/>
      <c r="DC155" s="258"/>
      <c r="DD155" s="258"/>
      <c r="DE155" s="258"/>
      <c r="DF155" s="258"/>
      <c r="DG155" s="258"/>
      <c r="DH155" s="258"/>
      <c r="DI155" s="258"/>
      <c r="DJ155" s="258"/>
      <c r="DK155" s="258"/>
      <c r="DL155" s="258"/>
      <c r="DM155" s="258"/>
      <c r="DN155" s="258"/>
      <c r="DO155" s="258"/>
      <c r="DP155" s="258"/>
      <c r="DQ155" s="258"/>
      <c r="DR155" s="258"/>
      <c r="DS155" s="258"/>
      <c r="DT155" s="258"/>
      <c r="DU155" s="258"/>
      <c r="DV155" s="258"/>
      <c r="DW155" s="258"/>
      <c r="DX155" s="258"/>
      <c r="DY155" s="258"/>
      <c r="DZ155" s="258"/>
      <c r="EA155" s="258"/>
      <c r="EB155" s="258"/>
      <c r="EC155" s="258"/>
      <c r="ED155" s="258"/>
      <c r="EE155" s="258"/>
      <c r="EF155" s="258"/>
      <c r="EG155" s="258"/>
      <c r="EH155" s="258"/>
      <c r="EI155" s="258"/>
      <c r="EJ155" s="258"/>
      <c r="EK155" s="258"/>
      <c r="EL155" s="258"/>
      <c r="EM155" s="258"/>
      <c r="EN155" s="258"/>
      <c r="EO155" s="258"/>
      <c r="EP155" s="258"/>
      <c r="EQ155" s="258"/>
      <c r="ER155" s="258"/>
      <c r="ES155" s="258"/>
      <c r="ET155" s="258"/>
      <c r="EU155" s="258"/>
      <c r="EV155" s="258"/>
      <c r="EW155" s="258"/>
      <c r="EX155" s="258"/>
      <c r="EY155" s="258"/>
      <c r="EZ155" s="258"/>
      <c r="FA155" s="258"/>
      <c r="FB155" s="258"/>
      <c r="FC155" s="258"/>
      <c r="FD155" s="258"/>
      <c r="FE155" s="258"/>
      <c r="FF155" s="258"/>
      <c r="FG155" s="258"/>
      <c r="FH155" s="258"/>
      <c r="FI155" s="258"/>
      <c r="FJ155" s="258"/>
      <c r="FK155" s="258"/>
      <c r="FL155" s="258"/>
      <c r="FM155" s="258"/>
      <c r="FN155" s="258"/>
      <c r="FO155" s="258"/>
      <c r="FP155" s="258"/>
      <c r="FQ155" s="258"/>
      <c r="FR155" s="258"/>
      <c r="FS155" s="258"/>
      <c r="FT155" s="258"/>
      <c r="FU155" s="258"/>
      <c r="FV155" s="258"/>
      <c r="FW155" s="258"/>
      <c r="FX155" s="258"/>
      <c r="FY155" s="258"/>
      <c r="FZ155" s="258"/>
      <c r="GA155" s="258"/>
      <c r="GB155" s="258"/>
      <c r="GC155" s="258"/>
      <c r="GD155" s="258"/>
      <c r="GE155" s="258"/>
      <c r="GF155" s="258"/>
      <c r="GG155" s="258"/>
      <c r="GH155" s="258"/>
      <c r="GI155" s="258"/>
      <c r="GJ155" s="258"/>
      <c r="GK155" s="258"/>
      <c r="GL155" s="258"/>
      <c r="GM155" s="258"/>
      <c r="GN155" s="258"/>
      <c r="GO155" s="258"/>
      <c r="GP155" s="258"/>
      <c r="GQ155" s="258"/>
      <c r="GR155" s="258"/>
      <c r="GS155" s="258"/>
      <c r="GT155" s="258"/>
      <c r="GU155" s="258"/>
      <c r="GV155" s="258"/>
      <c r="GW155" s="258"/>
      <c r="GX155" s="258"/>
      <c r="GY155" s="258"/>
      <c r="GZ155" s="258"/>
      <c r="HA155" s="258"/>
      <c r="HB155" s="258"/>
      <c r="HC155" s="258"/>
      <c r="HD155" s="258"/>
      <c r="HE155" s="258"/>
      <c r="HF155" s="258"/>
      <c r="HG155" s="258"/>
      <c r="HH155" s="258"/>
      <c r="HI155" s="258"/>
      <c r="HJ155" s="258"/>
      <c r="HK155" s="258"/>
      <c r="HL155" s="258"/>
      <c r="HM155" s="258"/>
      <c r="HN155" s="258"/>
      <c r="HO155" s="258"/>
      <c r="HP155" s="258"/>
      <c r="HQ155" s="258"/>
      <c r="HR155" s="258"/>
      <c r="HS155" s="258"/>
      <c r="HT155" s="258"/>
      <c r="HU155" s="258"/>
      <c r="HV155" s="258"/>
      <c r="HW155" s="258"/>
      <c r="HX155" s="258"/>
      <c r="HY155" s="258"/>
      <c r="HZ155" s="258"/>
      <c r="IA155" s="258"/>
      <c r="IB155" s="258"/>
      <c r="IC155" s="258"/>
      <c r="ID155" s="258"/>
      <c r="IE155" s="258"/>
      <c r="IF155" s="258"/>
      <c r="IG155" s="258"/>
      <c r="IH155" s="258"/>
      <c r="II155" s="258"/>
      <c r="IJ155" s="258"/>
      <c r="IK155" s="258"/>
      <c r="IL155" s="258"/>
      <c r="IM155" s="258"/>
      <c r="IN155" s="258"/>
      <c r="IO155" s="258"/>
      <c r="IP155" s="258"/>
      <c r="IQ155" s="258"/>
      <c r="IR155" s="258"/>
      <c r="IS155" s="258"/>
      <c r="IT155" s="258"/>
      <c r="IU155" s="258"/>
      <c r="IV155" s="258"/>
      <c r="IW155" s="258"/>
    </row>
    <row r="156" spans="2:257" s="261" customFormat="1" x14ac:dyDescent="0.25">
      <c r="B156" s="278"/>
      <c r="C156" s="278"/>
      <c r="D156" s="260"/>
      <c r="E156" s="260"/>
      <c r="F156" s="260"/>
      <c r="I156" s="260"/>
      <c r="J156" s="260"/>
      <c r="K156" s="260"/>
      <c r="L156" s="260"/>
      <c r="M156" s="260"/>
      <c r="N156" s="262"/>
      <c r="O156" s="262"/>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c r="BM156" s="258"/>
      <c r="BN156" s="258"/>
      <c r="BO156" s="258"/>
      <c r="BP156" s="258"/>
      <c r="BQ156" s="258"/>
      <c r="BR156" s="258"/>
      <c r="BS156" s="258"/>
      <c r="BT156" s="258"/>
      <c r="BU156" s="258"/>
      <c r="BV156" s="258"/>
      <c r="BW156" s="258"/>
      <c r="BX156" s="258"/>
      <c r="BY156" s="258"/>
      <c r="BZ156" s="258"/>
      <c r="CA156" s="258"/>
      <c r="CB156" s="258"/>
      <c r="CC156" s="258"/>
      <c r="CD156" s="258"/>
      <c r="CE156" s="258"/>
      <c r="CF156" s="258"/>
      <c r="CG156" s="258"/>
      <c r="CH156" s="258"/>
      <c r="CI156" s="258"/>
      <c r="CJ156" s="258"/>
      <c r="CK156" s="258"/>
      <c r="CL156" s="258"/>
      <c r="CM156" s="258"/>
      <c r="CN156" s="258"/>
      <c r="CO156" s="258"/>
      <c r="CP156" s="258"/>
      <c r="CQ156" s="258"/>
      <c r="CR156" s="258"/>
      <c r="CS156" s="258"/>
      <c r="CT156" s="258"/>
      <c r="CU156" s="258"/>
      <c r="CV156" s="258"/>
      <c r="CW156" s="258"/>
      <c r="CX156" s="258"/>
      <c r="CY156" s="258"/>
      <c r="CZ156" s="258"/>
      <c r="DA156" s="258"/>
      <c r="DB156" s="258"/>
      <c r="DC156" s="258"/>
      <c r="DD156" s="258"/>
      <c r="DE156" s="258"/>
      <c r="DF156" s="258"/>
      <c r="DG156" s="258"/>
      <c r="DH156" s="258"/>
      <c r="DI156" s="258"/>
      <c r="DJ156" s="258"/>
      <c r="DK156" s="258"/>
      <c r="DL156" s="258"/>
      <c r="DM156" s="258"/>
      <c r="DN156" s="258"/>
      <c r="DO156" s="258"/>
      <c r="DP156" s="258"/>
      <c r="DQ156" s="258"/>
      <c r="DR156" s="258"/>
      <c r="DS156" s="258"/>
      <c r="DT156" s="258"/>
      <c r="DU156" s="258"/>
      <c r="DV156" s="258"/>
      <c r="DW156" s="258"/>
      <c r="DX156" s="258"/>
      <c r="DY156" s="258"/>
      <c r="DZ156" s="258"/>
      <c r="EA156" s="258"/>
      <c r="EB156" s="258"/>
      <c r="EC156" s="258"/>
      <c r="ED156" s="258"/>
      <c r="EE156" s="258"/>
      <c r="EF156" s="258"/>
      <c r="EG156" s="258"/>
      <c r="EH156" s="258"/>
      <c r="EI156" s="258"/>
      <c r="EJ156" s="258"/>
      <c r="EK156" s="258"/>
      <c r="EL156" s="258"/>
      <c r="EM156" s="258"/>
      <c r="EN156" s="258"/>
      <c r="EO156" s="258"/>
      <c r="EP156" s="258"/>
      <c r="EQ156" s="258"/>
      <c r="ER156" s="258"/>
      <c r="ES156" s="258"/>
      <c r="ET156" s="258"/>
      <c r="EU156" s="258"/>
      <c r="EV156" s="258"/>
      <c r="EW156" s="258"/>
      <c r="EX156" s="258"/>
      <c r="EY156" s="258"/>
      <c r="EZ156" s="258"/>
      <c r="FA156" s="258"/>
      <c r="FB156" s="258"/>
      <c r="FC156" s="258"/>
      <c r="FD156" s="258"/>
      <c r="FE156" s="258"/>
      <c r="FF156" s="258"/>
      <c r="FG156" s="258"/>
      <c r="FH156" s="258"/>
      <c r="FI156" s="258"/>
      <c r="FJ156" s="258"/>
      <c r="FK156" s="258"/>
      <c r="FL156" s="258"/>
      <c r="FM156" s="258"/>
      <c r="FN156" s="258"/>
      <c r="FO156" s="258"/>
      <c r="FP156" s="258"/>
      <c r="FQ156" s="258"/>
      <c r="FR156" s="258"/>
      <c r="FS156" s="258"/>
      <c r="FT156" s="258"/>
      <c r="FU156" s="258"/>
      <c r="FV156" s="258"/>
      <c r="FW156" s="258"/>
      <c r="FX156" s="258"/>
      <c r="FY156" s="258"/>
      <c r="FZ156" s="258"/>
      <c r="GA156" s="258"/>
      <c r="GB156" s="258"/>
      <c r="GC156" s="258"/>
      <c r="GD156" s="258"/>
      <c r="GE156" s="258"/>
      <c r="GF156" s="258"/>
      <c r="GG156" s="258"/>
      <c r="GH156" s="258"/>
      <c r="GI156" s="258"/>
      <c r="GJ156" s="258"/>
      <c r="GK156" s="258"/>
      <c r="GL156" s="258"/>
      <c r="GM156" s="258"/>
      <c r="GN156" s="258"/>
      <c r="GO156" s="258"/>
      <c r="GP156" s="258"/>
      <c r="GQ156" s="258"/>
      <c r="GR156" s="258"/>
      <c r="GS156" s="258"/>
      <c r="GT156" s="258"/>
      <c r="GU156" s="258"/>
      <c r="GV156" s="258"/>
      <c r="GW156" s="258"/>
      <c r="GX156" s="258"/>
      <c r="GY156" s="258"/>
      <c r="GZ156" s="258"/>
      <c r="HA156" s="258"/>
      <c r="HB156" s="258"/>
      <c r="HC156" s="258"/>
      <c r="HD156" s="258"/>
      <c r="HE156" s="258"/>
      <c r="HF156" s="258"/>
      <c r="HG156" s="258"/>
      <c r="HH156" s="258"/>
      <c r="HI156" s="258"/>
      <c r="HJ156" s="258"/>
      <c r="HK156" s="258"/>
      <c r="HL156" s="258"/>
      <c r="HM156" s="258"/>
      <c r="HN156" s="258"/>
      <c r="HO156" s="258"/>
      <c r="HP156" s="258"/>
      <c r="HQ156" s="258"/>
      <c r="HR156" s="258"/>
      <c r="HS156" s="258"/>
      <c r="HT156" s="258"/>
      <c r="HU156" s="258"/>
      <c r="HV156" s="258"/>
      <c r="HW156" s="258"/>
      <c r="HX156" s="258"/>
      <c r="HY156" s="258"/>
      <c r="HZ156" s="258"/>
      <c r="IA156" s="258"/>
      <c r="IB156" s="258"/>
      <c r="IC156" s="258"/>
      <c r="ID156" s="258"/>
      <c r="IE156" s="258"/>
      <c r="IF156" s="258"/>
      <c r="IG156" s="258"/>
      <c r="IH156" s="258"/>
      <c r="II156" s="258"/>
      <c r="IJ156" s="258"/>
      <c r="IK156" s="258"/>
      <c r="IL156" s="258"/>
      <c r="IM156" s="258"/>
      <c r="IN156" s="258"/>
      <c r="IO156" s="258"/>
      <c r="IP156" s="258"/>
      <c r="IQ156" s="258"/>
      <c r="IR156" s="258"/>
      <c r="IS156" s="258"/>
      <c r="IT156" s="258"/>
      <c r="IU156" s="258"/>
      <c r="IV156" s="258"/>
      <c r="IW156" s="258"/>
    </row>
    <row r="157" spans="2:257" s="261" customFormat="1" x14ac:dyDescent="0.25">
      <c r="B157" s="278"/>
      <c r="C157" s="278"/>
      <c r="D157" s="260"/>
      <c r="E157" s="260"/>
      <c r="F157" s="260"/>
      <c r="I157" s="260"/>
      <c r="J157" s="260"/>
      <c r="K157" s="260"/>
      <c r="L157" s="260"/>
      <c r="M157" s="260"/>
      <c r="N157" s="262"/>
      <c r="O157" s="262"/>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c r="BM157" s="258"/>
      <c r="BN157" s="258"/>
      <c r="BO157" s="258"/>
      <c r="BP157" s="258"/>
      <c r="BQ157" s="258"/>
      <c r="BR157" s="258"/>
      <c r="BS157" s="258"/>
      <c r="BT157" s="258"/>
      <c r="BU157" s="258"/>
      <c r="BV157" s="258"/>
      <c r="BW157" s="258"/>
      <c r="BX157" s="258"/>
      <c r="BY157" s="258"/>
      <c r="BZ157" s="258"/>
      <c r="CA157" s="258"/>
      <c r="CB157" s="258"/>
      <c r="CC157" s="258"/>
      <c r="CD157" s="258"/>
      <c r="CE157" s="258"/>
      <c r="CF157" s="258"/>
      <c r="CG157" s="258"/>
      <c r="CH157" s="258"/>
      <c r="CI157" s="258"/>
      <c r="CJ157" s="258"/>
      <c r="CK157" s="258"/>
      <c r="CL157" s="258"/>
      <c r="CM157" s="258"/>
      <c r="CN157" s="258"/>
      <c r="CO157" s="258"/>
      <c r="CP157" s="258"/>
      <c r="CQ157" s="258"/>
      <c r="CR157" s="258"/>
      <c r="CS157" s="258"/>
      <c r="CT157" s="258"/>
      <c r="CU157" s="258"/>
      <c r="CV157" s="258"/>
      <c r="CW157" s="258"/>
      <c r="CX157" s="258"/>
      <c r="CY157" s="258"/>
      <c r="CZ157" s="258"/>
      <c r="DA157" s="258"/>
      <c r="DB157" s="258"/>
      <c r="DC157" s="258"/>
      <c r="DD157" s="258"/>
      <c r="DE157" s="258"/>
      <c r="DF157" s="258"/>
      <c r="DG157" s="258"/>
      <c r="DH157" s="258"/>
      <c r="DI157" s="258"/>
      <c r="DJ157" s="258"/>
      <c r="DK157" s="258"/>
      <c r="DL157" s="258"/>
      <c r="DM157" s="258"/>
      <c r="DN157" s="258"/>
      <c r="DO157" s="258"/>
      <c r="DP157" s="258"/>
      <c r="DQ157" s="258"/>
      <c r="DR157" s="258"/>
      <c r="DS157" s="258"/>
      <c r="DT157" s="258"/>
      <c r="DU157" s="258"/>
      <c r="DV157" s="258"/>
      <c r="DW157" s="258"/>
      <c r="DX157" s="258"/>
      <c r="DY157" s="258"/>
      <c r="DZ157" s="258"/>
      <c r="EA157" s="258"/>
      <c r="EB157" s="258"/>
      <c r="EC157" s="258"/>
      <c r="ED157" s="258"/>
      <c r="EE157" s="258"/>
      <c r="EF157" s="258"/>
      <c r="EG157" s="258"/>
      <c r="EH157" s="258"/>
      <c r="EI157" s="258"/>
      <c r="EJ157" s="258"/>
      <c r="EK157" s="258"/>
      <c r="EL157" s="258"/>
      <c r="EM157" s="258"/>
      <c r="EN157" s="258"/>
      <c r="EO157" s="258"/>
      <c r="EP157" s="258"/>
      <c r="EQ157" s="258"/>
      <c r="ER157" s="258"/>
      <c r="ES157" s="258"/>
      <c r="ET157" s="258"/>
      <c r="EU157" s="258"/>
      <c r="EV157" s="258"/>
      <c r="EW157" s="258"/>
      <c r="EX157" s="258"/>
      <c r="EY157" s="258"/>
      <c r="EZ157" s="258"/>
      <c r="FA157" s="258"/>
      <c r="FB157" s="258"/>
      <c r="FC157" s="258"/>
      <c r="FD157" s="258"/>
      <c r="FE157" s="258"/>
      <c r="FF157" s="258"/>
      <c r="FG157" s="258"/>
      <c r="FH157" s="258"/>
      <c r="FI157" s="258"/>
      <c r="FJ157" s="258"/>
      <c r="FK157" s="258"/>
      <c r="FL157" s="258"/>
      <c r="FM157" s="258"/>
      <c r="FN157" s="258"/>
      <c r="FO157" s="258"/>
      <c r="FP157" s="258"/>
      <c r="FQ157" s="258"/>
      <c r="FR157" s="258"/>
      <c r="FS157" s="258"/>
      <c r="FT157" s="258"/>
      <c r="FU157" s="258"/>
      <c r="FV157" s="258"/>
      <c r="FW157" s="258"/>
      <c r="FX157" s="258"/>
      <c r="FY157" s="258"/>
      <c r="FZ157" s="258"/>
      <c r="GA157" s="258"/>
      <c r="GB157" s="258"/>
      <c r="GC157" s="258"/>
      <c r="GD157" s="258"/>
      <c r="GE157" s="258"/>
      <c r="GF157" s="258"/>
      <c r="GG157" s="258"/>
      <c r="GH157" s="258"/>
      <c r="GI157" s="258"/>
      <c r="GJ157" s="258"/>
      <c r="GK157" s="258"/>
      <c r="GL157" s="258"/>
      <c r="GM157" s="258"/>
      <c r="GN157" s="258"/>
      <c r="GO157" s="258"/>
      <c r="GP157" s="258"/>
      <c r="GQ157" s="258"/>
      <c r="GR157" s="258"/>
      <c r="GS157" s="258"/>
      <c r="GT157" s="258"/>
      <c r="GU157" s="258"/>
      <c r="GV157" s="258"/>
      <c r="GW157" s="258"/>
      <c r="GX157" s="258"/>
      <c r="GY157" s="258"/>
      <c r="GZ157" s="258"/>
      <c r="HA157" s="258"/>
      <c r="HB157" s="258"/>
      <c r="HC157" s="258"/>
      <c r="HD157" s="258"/>
      <c r="HE157" s="258"/>
      <c r="HF157" s="258"/>
      <c r="HG157" s="258"/>
      <c r="HH157" s="258"/>
      <c r="HI157" s="258"/>
      <c r="HJ157" s="258"/>
      <c r="HK157" s="258"/>
      <c r="HL157" s="258"/>
      <c r="HM157" s="258"/>
      <c r="HN157" s="258"/>
      <c r="HO157" s="258"/>
      <c r="HP157" s="258"/>
      <c r="HQ157" s="258"/>
      <c r="HR157" s="258"/>
      <c r="HS157" s="258"/>
      <c r="HT157" s="258"/>
      <c r="HU157" s="258"/>
      <c r="HV157" s="258"/>
      <c r="HW157" s="258"/>
      <c r="HX157" s="258"/>
      <c r="HY157" s="258"/>
      <c r="HZ157" s="258"/>
      <c r="IA157" s="258"/>
      <c r="IB157" s="258"/>
      <c r="IC157" s="258"/>
      <c r="ID157" s="258"/>
      <c r="IE157" s="258"/>
      <c r="IF157" s="258"/>
      <c r="IG157" s="258"/>
      <c r="IH157" s="258"/>
      <c r="II157" s="258"/>
      <c r="IJ157" s="258"/>
      <c r="IK157" s="258"/>
      <c r="IL157" s="258"/>
      <c r="IM157" s="258"/>
      <c r="IN157" s="258"/>
      <c r="IO157" s="258"/>
      <c r="IP157" s="258"/>
      <c r="IQ157" s="258"/>
      <c r="IR157" s="258"/>
      <c r="IS157" s="258"/>
      <c r="IT157" s="258"/>
      <c r="IU157" s="258"/>
      <c r="IV157" s="258"/>
      <c r="IW157" s="258"/>
    </row>
    <row r="158" spans="2:257" s="261" customFormat="1" x14ac:dyDescent="0.25">
      <c r="B158" s="278"/>
      <c r="C158" s="278"/>
      <c r="D158" s="260"/>
      <c r="E158" s="260"/>
      <c r="F158" s="260"/>
      <c r="I158" s="260"/>
      <c r="J158" s="260"/>
      <c r="K158" s="260"/>
      <c r="L158" s="260"/>
      <c r="M158" s="260"/>
      <c r="N158" s="262"/>
      <c r="O158" s="262"/>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c r="BM158" s="258"/>
      <c r="BN158" s="258"/>
      <c r="BO158" s="258"/>
      <c r="BP158" s="258"/>
      <c r="BQ158" s="258"/>
      <c r="BR158" s="258"/>
      <c r="BS158" s="258"/>
      <c r="BT158" s="258"/>
      <c r="BU158" s="258"/>
      <c r="BV158" s="258"/>
      <c r="BW158" s="258"/>
      <c r="BX158" s="258"/>
      <c r="BY158" s="258"/>
      <c r="BZ158" s="258"/>
      <c r="CA158" s="258"/>
      <c r="CB158" s="258"/>
      <c r="CC158" s="258"/>
      <c r="CD158" s="258"/>
      <c r="CE158" s="258"/>
      <c r="CF158" s="258"/>
      <c r="CG158" s="258"/>
      <c r="CH158" s="258"/>
      <c r="CI158" s="258"/>
      <c r="CJ158" s="258"/>
      <c r="CK158" s="258"/>
      <c r="CL158" s="258"/>
      <c r="CM158" s="258"/>
      <c r="CN158" s="258"/>
      <c r="CO158" s="258"/>
      <c r="CP158" s="258"/>
      <c r="CQ158" s="258"/>
      <c r="CR158" s="258"/>
      <c r="CS158" s="258"/>
      <c r="CT158" s="258"/>
      <c r="CU158" s="258"/>
      <c r="CV158" s="258"/>
      <c r="CW158" s="258"/>
      <c r="CX158" s="258"/>
      <c r="CY158" s="258"/>
      <c r="CZ158" s="258"/>
      <c r="DA158" s="258"/>
      <c r="DB158" s="258"/>
      <c r="DC158" s="258"/>
      <c r="DD158" s="258"/>
      <c r="DE158" s="258"/>
      <c r="DF158" s="258"/>
      <c r="DG158" s="258"/>
      <c r="DH158" s="258"/>
      <c r="DI158" s="258"/>
      <c r="DJ158" s="258"/>
      <c r="DK158" s="258"/>
      <c r="DL158" s="258"/>
      <c r="DM158" s="258"/>
      <c r="DN158" s="258"/>
      <c r="DO158" s="258"/>
      <c r="DP158" s="258"/>
      <c r="DQ158" s="258"/>
      <c r="DR158" s="258"/>
      <c r="DS158" s="258"/>
      <c r="DT158" s="258"/>
      <c r="DU158" s="258"/>
      <c r="DV158" s="258"/>
      <c r="DW158" s="258"/>
      <c r="DX158" s="258"/>
      <c r="DY158" s="258"/>
      <c r="DZ158" s="258"/>
      <c r="EA158" s="258"/>
      <c r="EB158" s="258"/>
      <c r="EC158" s="258"/>
      <c r="ED158" s="258"/>
      <c r="EE158" s="258"/>
      <c r="EF158" s="258"/>
      <c r="EG158" s="258"/>
      <c r="EH158" s="258"/>
      <c r="EI158" s="258"/>
      <c r="EJ158" s="258"/>
      <c r="EK158" s="258"/>
      <c r="EL158" s="258"/>
      <c r="EM158" s="258"/>
      <c r="EN158" s="258"/>
      <c r="EO158" s="258"/>
      <c r="EP158" s="258"/>
      <c r="EQ158" s="258"/>
      <c r="ER158" s="258"/>
      <c r="ES158" s="258"/>
      <c r="ET158" s="258"/>
      <c r="EU158" s="258"/>
      <c r="EV158" s="258"/>
      <c r="EW158" s="258"/>
      <c r="EX158" s="258"/>
      <c r="EY158" s="258"/>
      <c r="EZ158" s="258"/>
      <c r="FA158" s="258"/>
      <c r="FB158" s="258"/>
      <c r="FC158" s="258"/>
      <c r="FD158" s="258"/>
      <c r="FE158" s="258"/>
      <c r="FF158" s="258"/>
      <c r="FG158" s="258"/>
      <c r="FH158" s="258"/>
      <c r="FI158" s="258"/>
      <c r="FJ158" s="258"/>
      <c r="FK158" s="258"/>
      <c r="FL158" s="258"/>
      <c r="FM158" s="258"/>
      <c r="FN158" s="258"/>
      <c r="FO158" s="258"/>
      <c r="FP158" s="258"/>
      <c r="FQ158" s="258"/>
      <c r="FR158" s="258"/>
      <c r="FS158" s="258"/>
      <c r="FT158" s="258"/>
      <c r="FU158" s="258"/>
      <c r="FV158" s="258"/>
      <c r="FW158" s="258"/>
      <c r="FX158" s="258"/>
      <c r="FY158" s="258"/>
      <c r="FZ158" s="258"/>
      <c r="GA158" s="258"/>
      <c r="GB158" s="258"/>
      <c r="GC158" s="258"/>
      <c r="GD158" s="258"/>
      <c r="GE158" s="258"/>
      <c r="GF158" s="258"/>
      <c r="GG158" s="258"/>
      <c r="GH158" s="258"/>
      <c r="GI158" s="258"/>
      <c r="GJ158" s="258"/>
      <c r="GK158" s="258"/>
      <c r="GL158" s="258"/>
      <c r="GM158" s="258"/>
      <c r="GN158" s="258"/>
      <c r="GO158" s="258"/>
      <c r="GP158" s="258"/>
      <c r="GQ158" s="258"/>
      <c r="GR158" s="258"/>
      <c r="GS158" s="258"/>
      <c r="GT158" s="258"/>
      <c r="GU158" s="258"/>
      <c r="GV158" s="258"/>
      <c r="GW158" s="258"/>
      <c r="GX158" s="258"/>
      <c r="GY158" s="258"/>
      <c r="GZ158" s="258"/>
      <c r="HA158" s="258"/>
      <c r="HB158" s="258"/>
      <c r="HC158" s="258"/>
      <c r="HD158" s="258"/>
      <c r="HE158" s="258"/>
      <c r="HF158" s="258"/>
      <c r="HG158" s="258"/>
      <c r="HH158" s="258"/>
      <c r="HI158" s="258"/>
      <c r="HJ158" s="258"/>
      <c r="HK158" s="258"/>
      <c r="HL158" s="258"/>
      <c r="HM158" s="258"/>
      <c r="HN158" s="258"/>
      <c r="HO158" s="258"/>
      <c r="HP158" s="258"/>
      <c r="HQ158" s="258"/>
      <c r="HR158" s="258"/>
      <c r="HS158" s="258"/>
      <c r="HT158" s="258"/>
      <c r="HU158" s="258"/>
      <c r="HV158" s="258"/>
      <c r="HW158" s="258"/>
      <c r="HX158" s="258"/>
      <c r="HY158" s="258"/>
      <c r="HZ158" s="258"/>
      <c r="IA158" s="258"/>
      <c r="IB158" s="258"/>
      <c r="IC158" s="258"/>
      <c r="ID158" s="258"/>
      <c r="IE158" s="258"/>
      <c r="IF158" s="258"/>
      <c r="IG158" s="258"/>
      <c r="IH158" s="258"/>
      <c r="II158" s="258"/>
      <c r="IJ158" s="258"/>
      <c r="IK158" s="258"/>
      <c r="IL158" s="258"/>
      <c r="IM158" s="258"/>
      <c r="IN158" s="258"/>
      <c r="IO158" s="258"/>
      <c r="IP158" s="258"/>
      <c r="IQ158" s="258"/>
      <c r="IR158" s="258"/>
      <c r="IS158" s="258"/>
      <c r="IT158" s="258"/>
      <c r="IU158" s="258"/>
      <c r="IV158" s="258"/>
      <c r="IW158" s="258"/>
    </row>
    <row r="159" spans="2:257" s="261" customFormat="1" x14ac:dyDescent="0.25">
      <c r="B159" s="278"/>
      <c r="C159" s="278"/>
      <c r="D159" s="260"/>
      <c r="E159" s="260"/>
      <c r="F159" s="260"/>
      <c r="I159" s="260"/>
      <c r="J159" s="260"/>
      <c r="K159" s="260"/>
      <c r="L159" s="260"/>
      <c r="M159" s="260"/>
      <c r="N159" s="262"/>
      <c r="O159" s="262"/>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c r="BM159" s="258"/>
      <c r="BN159" s="258"/>
      <c r="BO159" s="258"/>
      <c r="BP159" s="258"/>
      <c r="BQ159" s="258"/>
      <c r="BR159" s="258"/>
      <c r="BS159" s="258"/>
      <c r="BT159" s="258"/>
      <c r="BU159" s="258"/>
      <c r="BV159" s="258"/>
      <c r="BW159" s="258"/>
      <c r="BX159" s="258"/>
      <c r="BY159" s="258"/>
      <c r="BZ159" s="258"/>
      <c r="CA159" s="258"/>
      <c r="CB159" s="258"/>
      <c r="CC159" s="258"/>
      <c r="CD159" s="258"/>
      <c r="CE159" s="258"/>
      <c r="CF159" s="258"/>
      <c r="CG159" s="258"/>
      <c r="CH159" s="258"/>
      <c r="CI159" s="258"/>
      <c r="CJ159" s="258"/>
      <c r="CK159" s="258"/>
      <c r="CL159" s="258"/>
      <c r="CM159" s="258"/>
      <c r="CN159" s="258"/>
      <c r="CO159" s="258"/>
      <c r="CP159" s="258"/>
      <c r="CQ159" s="258"/>
      <c r="CR159" s="258"/>
      <c r="CS159" s="258"/>
      <c r="CT159" s="258"/>
      <c r="CU159" s="258"/>
      <c r="CV159" s="258"/>
      <c r="CW159" s="258"/>
      <c r="CX159" s="258"/>
      <c r="CY159" s="258"/>
      <c r="CZ159" s="258"/>
      <c r="DA159" s="258"/>
      <c r="DB159" s="258"/>
      <c r="DC159" s="258"/>
      <c r="DD159" s="258"/>
      <c r="DE159" s="258"/>
      <c r="DF159" s="258"/>
      <c r="DG159" s="258"/>
      <c r="DH159" s="258"/>
      <c r="DI159" s="258"/>
      <c r="DJ159" s="258"/>
      <c r="DK159" s="258"/>
      <c r="DL159" s="258"/>
      <c r="DM159" s="258"/>
      <c r="DN159" s="258"/>
      <c r="DO159" s="258"/>
      <c r="DP159" s="258"/>
      <c r="DQ159" s="258"/>
      <c r="DR159" s="258"/>
      <c r="DS159" s="258"/>
      <c r="DT159" s="258"/>
      <c r="DU159" s="258"/>
      <c r="DV159" s="258"/>
      <c r="DW159" s="258"/>
      <c r="DX159" s="258"/>
      <c r="DY159" s="258"/>
      <c r="DZ159" s="258"/>
      <c r="EA159" s="258"/>
      <c r="EB159" s="258"/>
      <c r="EC159" s="258"/>
      <c r="ED159" s="258"/>
      <c r="EE159" s="258"/>
      <c r="EF159" s="258"/>
      <c r="EG159" s="258"/>
      <c r="EH159" s="258"/>
      <c r="EI159" s="258"/>
      <c r="EJ159" s="258"/>
      <c r="EK159" s="258"/>
      <c r="EL159" s="258"/>
      <c r="EM159" s="258"/>
      <c r="EN159" s="258"/>
      <c r="EO159" s="258"/>
      <c r="EP159" s="258"/>
      <c r="EQ159" s="258"/>
      <c r="ER159" s="258"/>
      <c r="ES159" s="258"/>
      <c r="ET159" s="258"/>
      <c r="EU159" s="258"/>
      <c r="EV159" s="258"/>
      <c r="EW159" s="258"/>
      <c r="EX159" s="258"/>
      <c r="EY159" s="258"/>
      <c r="EZ159" s="258"/>
      <c r="FA159" s="258"/>
      <c r="FB159" s="258"/>
      <c r="FC159" s="258"/>
      <c r="FD159" s="258"/>
      <c r="FE159" s="258"/>
      <c r="FF159" s="258"/>
      <c r="FG159" s="258"/>
      <c r="FH159" s="258"/>
      <c r="FI159" s="258"/>
      <c r="FJ159" s="258"/>
      <c r="FK159" s="258"/>
      <c r="FL159" s="258"/>
      <c r="FM159" s="258"/>
      <c r="FN159" s="258"/>
      <c r="FO159" s="258"/>
      <c r="FP159" s="258"/>
      <c r="FQ159" s="258"/>
      <c r="FR159" s="258"/>
      <c r="FS159" s="258"/>
      <c r="FT159" s="258"/>
      <c r="FU159" s="258"/>
      <c r="FV159" s="258"/>
      <c r="FW159" s="258"/>
      <c r="FX159" s="258"/>
      <c r="FY159" s="258"/>
      <c r="FZ159" s="258"/>
      <c r="GA159" s="258"/>
      <c r="GB159" s="258"/>
      <c r="GC159" s="258"/>
      <c r="GD159" s="258"/>
      <c r="GE159" s="258"/>
      <c r="GF159" s="258"/>
      <c r="GG159" s="258"/>
      <c r="GH159" s="258"/>
      <c r="GI159" s="258"/>
      <c r="GJ159" s="258"/>
      <c r="GK159" s="258"/>
      <c r="GL159" s="258"/>
      <c r="GM159" s="258"/>
      <c r="GN159" s="258"/>
      <c r="GO159" s="258"/>
      <c r="GP159" s="258"/>
      <c r="GQ159" s="258"/>
      <c r="GR159" s="258"/>
      <c r="GS159" s="258"/>
      <c r="GT159" s="258"/>
      <c r="GU159" s="258"/>
      <c r="GV159" s="258"/>
      <c r="GW159" s="258"/>
      <c r="GX159" s="258"/>
      <c r="GY159" s="258"/>
      <c r="GZ159" s="258"/>
      <c r="HA159" s="258"/>
      <c r="HB159" s="258"/>
      <c r="HC159" s="258"/>
      <c r="HD159" s="258"/>
      <c r="HE159" s="258"/>
      <c r="HF159" s="258"/>
      <c r="HG159" s="258"/>
      <c r="HH159" s="258"/>
      <c r="HI159" s="258"/>
      <c r="HJ159" s="258"/>
      <c r="HK159" s="258"/>
      <c r="HL159" s="258"/>
      <c r="HM159" s="258"/>
      <c r="HN159" s="258"/>
      <c r="HO159" s="258"/>
      <c r="HP159" s="258"/>
      <c r="HQ159" s="258"/>
      <c r="HR159" s="258"/>
      <c r="HS159" s="258"/>
      <c r="HT159" s="258"/>
      <c r="HU159" s="258"/>
      <c r="HV159" s="258"/>
      <c r="HW159" s="258"/>
      <c r="HX159" s="258"/>
      <c r="HY159" s="258"/>
      <c r="HZ159" s="258"/>
      <c r="IA159" s="258"/>
      <c r="IB159" s="258"/>
      <c r="IC159" s="258"/>
      <c r="ID159" s="258"/>
      <c r="IE159" s="258"/>
      <c r="IF159" s="258"/>
      <c r="IG159" s="258"/>
      <c r="IH159" s="258"/>
      <c r="II159" s="258"/>
      <c r="IJ159" s="258"/>
      <c r="IK159" s="258"/>
      <c r="IL159" s="258"/>
      <c r="IM159" s="258"/>
      <c r="IN159" s="258"/>
      <c r="IO159" s="258"/>
      <c r="IP159" s="258"/>
      <c r="IQ159" s="258"/>
      <c r="IR159" s="258"/>
      <c r="IS159" s="258"/>
      <c r="IT159" s="258"/>
      <c r="IU159" s="258"/>
      <c r="IV159" s="258"/>
      <c r="IW159" s="258"/>
    </row>
    <row r="160" spans="2:257" s="261" customFormat="1" x14ac:dyDescent="0.25">
      <c r="B160" s="278"/>
      <c r="C160" s="278"/>
      <c r="D160" s="260"/>
      <c r="E160" s="260"/>
      <c r="F160" s="260"/>
      <c r="I160" s="260"/>
      <c r="J160" s="260"/>
      <c r="K160" s="260"/>
      <c r="L160" s="260"/>
      <c r="M160" s="260"/>
      <c r="N160" s="262"/>
      <c r="O160" s="262"/>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c r="BM160" s="258"/>
      <c r="BN160" s="258"/>
      <c r="BO160" s="258"/>
      <c r="BP160" s="258"/>
      <c r="BQ160" s="258"/>
      <c r="BR160" s="258"/>
      <c r="BS160" s="258"/>
      <c r="BT160" s="258"/>
      <c r="BU160" s="258"/>
      <c r="BV160" s="258"/>
      <c r="BW160" s="258"/>
      <c r="BX160" s="258"/>
      <c r="BY160" s="258"/>
      <c r="BZ160" s="258"/>
      <c r="CA160" s="258"/>
      <c r="CB160" s="258"/>
      <c r="CC160" s="258"/>
      <c r="CD160" s="258"/>
      <c r="CE160" s="258"/>
      <c r="CF160" s="258"/>
      <c r="CG160" s="258"/>
      <c r="CH160" s="258"/>
      <c r="CI160" s="258"/>
      <c r="CJ160" s="258"/>
      <c r="CK160" s="258"/>
      <c r="CL160" s="258"/>
      <c r="CM160" s="258"/>
      <c r="CN160" s="258"/>
      <c r="CO160" s="258"/>
      <c r="CP160" s="258"/>
      <c r="CQ160" s="258"/>
      <c r="CR160" s="258"/>
      <c r="CS160" s="258"/>
      <c r="CT160" s="258"/>
      <c r="CU160" s="258"/>
      <c r="CV160" s="258"/>
      <c r="CW160" s="258"/>
      <c r="CX160" s="258"/>
      <c r="CY160" s="258"/>
      <c r="CZ160" s="258"/>
      <c r="DA160" s="258"/>
      <c r="DB160" s="258"/>
      <c r="DC160" s="258"/>
      <c r="DD160" s="258"/>
      <c r="DE160" s="258"/>
      <c r="DF160" s="258"/>
      <c r="DG160" s="258"/>
      <c r="DH160" s="258"/>
      <c r="DI160" s="258"/>
      <c r="DJ160" s="258"/>
      <c r="DK160" s="258"/>
      <c r="DL160" s="258"/>
      <c r="DM160" s="258"/>
      <c r="DN160" s="258"/>
      <c r="DO160" s="258"/>
      <c r="DP160" s="258"/>
      <c r="DQ160" s="258"/>
      <c r="DR160" s="258"/>
      <c r="DS160" s="258"/>
      <c r="DT160" s="258"/>
      <c r="DU160" s="258"/>
      <c r="DV160" s="258"/>
      <c r="DW160" s="258"/>
      <c r="DX160" s="258"/>
      <c r="DY160" s="258"/>
      <c r="DZ160" s="258"/>
      <c r="EA160" s="258"/>
      <c r="EB160" s="258"/>
      <c r="EC160" s="258"/>
      <c r="ED160" s="258"/>
      <c r="EE160" s="258"/>
      <c r="EF160" s="258"/>
      <c r="EG160" s="258"/>
      <c r="EH160" s="258"/>
      <c r="EI160" s="258"/>
      <c r="EJ160" s="258"/>
      <c r="EK160" s="258"/>
      <c r="EL160" s="258"/>
      <c r="EM160" s="258"/>
      <c r="EN160" s="258"/>
      <c r="EO160" s="258"/>
      <c r="EP160" s="258"/>
      <c r="EQ160" s="258"/>
      <c r="ER160" s="258"/>
      <c r="ES160" s="258"/>
      <c r="ET160" s="258"/>
      <c r="EU160" s="258"/>
      <c r="EV160" s="258"/>
      <c r="EW160" s="258"/>
      <c r="EX160" s="258"/>
      <c r="EY160" s="258"/>
      <c r="EZ160" s="258"/>
      <c r="FA160" s="258"/>
      <c r="FB160" s="258"/>
      <c r="FC160" s="258"/>
      <c r="FD160" s="258"/>
      <c r="FE160" s="258"/>
      <c r="FF160" s="258"/>
      <c r="FG160" s="258"/>
      <c r="FH160" s="258"/>
      <c r="FI160" s="258"/>
      <c r="FJ160" s="258"/>
      <c r="FK160" s="258"/>
      <c r="FL160" s="258"/>
      <c r="FM160" s="258"/>
      <c r="FN160" s="258"/>
      <c r="FO160" s="258"/>
      <c r="FP160" s="258"/>
      <c r="FQ160" s="258"/>
      <c r="FR160" s="258"/>
      <c r="FS160" s="258"/>
      <c r="FT160" s="258"/>
      <c r="FU160" s="258"/>
      <c r="FV160" s="258"/>
      <c r="FW160" s="258"/>
      <c r="FX160" s="258"/>
      <c r="FY160" s="258"/>
      <c r="FZ160" s="258"/>
      <c r="GA160" s="258"/>
      <c r="GB160" s="258"/>
      <c r="GC160" s="258"/>
      <c r="GD160" s="258"/>
      <c r="GE160" s="258"/>
      <c r="GF160" s="258"/>
      <c r="GG160" s="258"/>
      <c r="GH160" s="258"/>
      <c r="GI160" s="258"/>
      <c r="GJ160" s="258"/>
      <c r="GK160" s="258"/>
      <c r="GL160" s="258"/>
      <c r="GM160" s="258"/>
      <c r="GN160" s="258"/>
      <c r="GO160" s="258"/>
      <c r="GP160" s="258"/>
      <c r="GQ160" s="258"/>
      <c r="GR160" s="258"/>
      <c r="GS160" s="258"/>
      <c r="GT160" s="258"/>
      <c r="GU160" s="258"/>
      <c r="GV160" s="258"/>
      <c r="GW160" s="258"/>
      <c r="GX160" s="258"/>
      <c r="GY160" s="258"/>
      <c r="GZ160" s="258"/>
      <c r="HA160" s="258"/>
      <c r="HB160" s="258"/>
      <c r="HC160" s="258"/>
      <c r="HD160" s="258"/>
      <c r="HE160" s="258"/>
      <c r="HF160" s="258"/>
      <c r="HG160" s="258"/>
      <c r="HH160" s="258"/>
      <c r="HI160" s="258"/>
      <c r="HJ160" s="258"/>
      <c r="HK160" s="258"/>
      <c r="HL160" s="258"/>
      <c r="HM160" s="258"/>
      <c r="HN160" s="258"/>
      <c r="HO160" s="258"/>
      <c r="HP160" s="258"/>
      <c r="HQ160" s="258"/>
      <c r="HR160" s="258"/>
      <c r="HS160" s="258"/>
      <c r="HT160" s="258"/>
      <c r="HU160" s="258"/>
      <c r="HV160" s="258"/>
      <c r="HW160" s="258"/>
      <c r="HX160" s="258"/>
      <c r="HY160" s="258"/>
      <c r="HZ160" s="258"/>
      <c r="IA160" s="258"/>
      <c r="IB160" s="258"/>
      <c r="IC160" s="258"/>
      <c r="ID160" s="258"/>
      <c r="IE160" s="258"/>
      <c r="IF160" s="258"/>
      <c r="IG160" s="258"/>
      <c r="IH160" s="258"/>
      <c r="II160" s="258"/>
      <c r="IJ160" s="258"/>
      <c r="IK160" s="258"/>
      <c r="IL160" s="258"/>
      <c r="IM160" s="258"/>
      <c r="IN160" s="258"/>
      <c r="IO160" s="258"/>
      <c r="IP160" s="258"/>
      <c r="IQ160" s="258"/>
      <c r="IR160" s="258"/>
      <c r="IS160" s="258"/>
      <c r="IT160" s="258"/>
      <c r="IU160" s="258"/>
      <c r="IV160" s="258"/>
      <c r="IW160" s="258"/>
    </row>
    <row r="161" spans="2:257" s="261" customFormat="1" x14ac:dyDescent="0.25">
      <c r="B161" s="278"/>
      <c r="C161" s="278"/>
      <c r="D161" s="260"/>
      <c r="E161" s="260"/>
      <c r="F161" s="260"/>
      <c r="I161" s="260"/>
      <c r="J161" s="260"/>
      <c r="K161" s="260"/>
      <c r="L161" s="260"/>
      <c r="M161" s="260"/>
      <c r="N161" s="262"/>
      <c r="O161" s="262"/>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c r="BM161" s="258"/>
      <c r="BN161" s="258"/>
      <c r="BO161" s="258"/>
      <c r="BP161" s="258"/>
      <c r="BQ161" s="258"/>
      <c r="BR161" s="258"/>
      <c r="BS161" s="258"/>
      <c r="BT161" s="258"/>
      <c r="BU161" s="258"/>
      <c r="BV161" s="258"/>
      <c r="BW161" s="258"/>
      <c r="BX161" s="258"/>
      <c r="BY161" s="258"/>
      <c r="BZ161" s="258"/>
      <c r="CA161" s="258"/>
      <c r="CB161" s="258"/>
      <c r="CC161" s="258"/>
      <c r="CD161" s="258"/>
      <c r="CE161" s="258"/>
      <c r="CF161" s="258"/>
      <c r="CG161" s="258"/>
      <c r="CH161" s="258"/>
      <c r="CI161" s="258"/>
      <c r="CJ161" s="258"/>
      <c r="CK161" s="258"/>
      <c r="CL161" s="258"/>
      <c r="CM161" s="258"/>
      <c r="CN161" s="258"/>
      <c r="CO161" s="258"/>
      <c r="CP161" s="258"/>
      <c r="CQ161" s="258"/>
      <c r="CR161" s="258"/>
      <c r="CS161" s="258"/>
      <c r="CT161" s="258"/>
      <c r="CU161" s="258"/>
      <c r="CV161" s="258"/>
      <c r="CW161" s="258"/>
      <c r="CX161" s="258"/>
      <c r="CY161" s="258"/>
      <c r="CZ161" s="258"/>
      <c r="DA161" s="258"/>
      <c r="DB161" s="258"/>
      <c r="DC161" s="258"/>
      <c r="DD161" s="258"/>
      <c r="DE161" s="258"/>
      <c r="DF161" s="258"/>
      <c r="DG161" s="258"/>
      <c r="DH161" s="258"/>
      <c r="DI161" s="258"/>
      <c r="DJ161" s="258"/>
      <c r="DK161" s="258"/>
      <c r="DL161" s="258"/>
      <c r="DM161" s="258"/>
      <c r="DN161" s="258"/>
      <c r="DO161" s="258"/>
      <c r="DP161" s="258"/>
      <c r="DQ161" s="258"/>
      <c r="DR161" s="258"/>
      <c r="DS161" s="258"/>
      <c r="DT161" s="258"/>
      <c r="DU161" s="258"/>
      <c r="DV161" s="258"/>
      <c r="DW161" s="258"/>
      <c r="DX161" s="258"/>
      <c r="DY161" s="258"/>
      <c r="DZ161" s="258"/>
      <c r="EA161" s="258"/>
      <c r="EB161" s="258"/>
      <c r="EC161" s="258"/>
      <c r="ED161" s="258"/>
      <c r="EE161" s="258"/>
      <c r="EF161" s="258"/>
      <c r="EG161" s="258"/>
      <c r="EH161" s="258"/>
      <c r="EI161" s="258"/>
      <c r="EJ161" s="258"/>
      <c r="EK161" s="258"/>
      <c r="EL161" s="258"/>
      <c r="EM161" s="258"/>
      <c r="EN161" s="258"/>
      <c r="EO161" s="258"/>
      <c r="EP161" s="258"/>
      <c r="EQ161" s="258"/>
      <c r="ER161" s="258"/>
      <c r="ES161" s="258"/>
      <c r="ET161" s="258"/>
      <c r="EU161" s="258"/>
      <c r="EV161" s="258"/>
      <c r="EW161" s="258"/>
      <c r="EX161" s="258"/>
      <c r="EY161" s="258"/>
      <c r="EZ161" s="258"/>
      <c r="FA161" s="258"/>
      <c r="FB161" s="258"/>
      <c r="FC161" s="258"/>
      <c r="FD161" s="258"/>
      <c r="FE161" s="258"/>
      <c r="FF161" s="258"/>
      <c r="FG161" s="258"/>
      <c r="FH161" s="258"/>
      <c r="FI161" s="258"/>
      <c r="FJ161" s="258"/>
      <c r="FK161" s="258"/>
      <c r="FL161" s="258"/>
      <c r="FM161" s="258"/>
      <c r="FN161" s="258"/>
      <c r="FO161" s="258"/>
      <c r="FP161" s="258"/>
      <c r="FQ161" s="258"/>
      <c r="FR161" s="258"/>
      <c r="FS161" s="258"/>
      <c r="FT161" s="258"/>
      <c r="FU161" s="258"/>
      <c r="FV161" s="258"/>
      <c r="FW161" s="258"/>
      <c r="FX161" s="258"/>
      <c r="FY161" s="258"/>
      <c r="FZ161" s="258"/>
      <c r="GA161" s="258"/>
      <c r="GB161" s="258"/>
      <c r="GC161" s="258"/>
      <c r="GD161" s="258"/>
      <c r="GE161" s="258"/>
      <c r="GF161" s="258"/>
      <c r="GG161" s="258"/>
      <c r="GH161" s="258"/>
      <c r="GI161" s="258"/>
      <c r="GJ161" s="258"/>
      <c r="GK161" s="258"/>
      <c r="GL161" s="258"/>
      <c r="GM161" s="258"/>
      <c r="GN161" s="258"/>
      <c r="GO161" s="258"/>
      <c r="GP161" s="258"/>
      <c r="GQ161" s="258"/>
      <c r="GR161" s="258"/>
      <c r="GS161" s="258"/>
      <c r="GT161" s="258"/>
      <c r="GU161" s="258"/>
      <c r="GV161" s="258"/>
      <c r="GW161" s="258"/>
      <c r="GX161" s="258"/>
      <c r="GY161" s="258"/>
      <c r="GZ161" s="258"/>
      <c r="HA161" s="258"/>
      <c r="HB161" s="258"/>
      <c r="HC161" s="258"/>
      <c r="HD161" s="258"/>
      <c r="HE161" s="258"/>
      <c r="HF161" s="258"/>
      <c r="HG161" s="258"/>
      <c r="HH161" s="258"/>
      <c r="HI161" s="258"/>
      <c r="HJ161" s="258"/>
      <c r="HK161" s="258"/>
      <c r="HL161" s="258"/>
      <c r="HM161" s="258"/>
      <c r="HN161" s="258"/>
      <c r="HO161" s="258"/>
      <c r="HP161" s="258"/>
      <c r="HQ161" s="258"/>
      <c r="HR161" s="258"/>
      <c r="HS161" s="258"/>
      <c r="HT161" s="258"/>
      <c r="HU161" s="258"/>
      <c r="HV161" s="258"/>
      <c r="HW161" s="258"/>
      <c r="HX161" s="258"/>
      <c r="HY161" s="258"/>
      <c r="HZ161" s="258"/>
      <c r="IA161" s="258"/>
      <c r="IB161" s="258"/>
      <c r="IC161" s="258"/>
      <c r="ID161" s="258"/>
      <c r="IE161" s="258"/>
      <c r="IF161" s="258"/>
      <c r="IG161" s="258"/>
      <c r="IH161" s="258"/>
      <c r="II161" s="258"/>
      <c r="IJ161" s="258"/>
      <c r="IK161" s="258"/>
      <c r="IL161" s="258"/>
      <c r="IM161" s="258"/>
      <c r="IN161" s="258"/>
      <c r="IO161" s="258"/>
      <c r="IP161" s="258"/>
      <c r="IQ161" s="258"/>
      <c r="IR161" s="258"/>
      <c r="IS161" s="258"/>
      <c r="IT161" s="258"/>
      <c r="IU161" s="258"/>
      <c r="IV161" s="258"/>
      <c r="IW161" s="258"/>
    </row>
    <row r="162" spans="2:257" s="261" customFormat="1" x14ac:dyDescent="0.25">
      <c r="B162" s="278"/>
      <c r="C162" s="278"/>
      <c r="D162" s="260"/>
      <c r="E162" s="260"/>
      <c r="F162" s="260"/>
      <c r="I162" s="260"/>
      <c r="J162" s="260"/>
      <c r="K162" s="260"/>
      <c r="L162" s="260"/>
      <c r="M162" s="260"/>
      <c r="N162" s="262"/>
      <c r="O162" s="262"/>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c r="BM162" s="258"/>
      <c r="BN162" s="258"/>
      <c r="BO162" s="258"/>
      <c r="BP162" s="258"/>
      <c r="BQ162" s="258"/>
      <c r="BR162" s="258"/>
      <c r="BS162" s="258"/>
      <c r="BT162" s="258"/>
      <c r="BU162" s="258"/>
      <c r="BV162" s="258"/>
      <c r="BW162" s="258"/>
      <c r="BX162" s="258"/>
      <c r="BY162" s="258"/>
      <c r="BZ162" s="258"/>
      <c r="CA162" s="258"/>
      <c r="CB162" s="258"/>
      <c r="CC162" s="258"/>
      <c r="CD162" s="258"/>
      <c r="CE162" s="258"/>
      <c r="CF162" s="258"/>
      <c r="CG162" s="258"/>
      <c r="CH162" s="258"/>
      <c r="CI162" s="258"/>
      <c r="CJ162" s="258"/>
      <c r="CK162" s="258"/>
      <c r="CL162" s="258"/>
      <c r="CM162" s="258"/>
      <c r="CN162" s="258"/>
      <c r="CO162" s="258"/>
      <c r="CP162" s="258"/>
      <c r="CQ162" s="258"/>
      <c r="CR162" s="258"/>
      <c r="CS162" s="258"/>
      <c r="CT162" s="258"/>
      <c r="CU162" s="258"/>
      <c r="CV162" s="258"/>
      <c r="CW162" s="258"/>
      <c r="CX162" s="258"/>
      <c r="CY162" s="258"/>
      <c r="CZ162" s="258"/>
      <c r="DA162" s="258"/>
      <c r="DB162" s="258"/>
      <c r="DC162" s="258"/>
      <c r="DD162" s="258"/>
      <c r="DE162" s="258"/>
      <c r="DF162" s="258"/>
      <c r="DG162" s="258"/>
      <c r="DH162" s="258"/>
      <c r="DI162" s="258"/>
      <c r="DJ162" s="258"/>
      <c r="DK162" s="258"/>
      <c r="DL162" s="258"/>
      <c r="DM162" s="258"/>
      <c r="DN162" s="258"/>
      <c r="DO162" s="258"/>
      <c r="DP162" s="258"/>
      <c r="DQ162" s="258"/>
      <c r="DR162" s="258"/>
      <c r="DS162" s="258"/>
      <c r="DT162" s="258"/>
      <c r="DU162" s="258"/>
      <c r="DV162" s="258"/>
      <c r="DW162" s="258"/>
      <c r="DX162" s="258"/>
      <c r="DY162" s="258"/>
      <c r="DZ162" s="258"/>
      <c r="EA162" s="258"/>
      <c r="EB162" s="258"/>
      <c r="EC162" s="258"/>
      <c r="ED162" s="258"/>
      <c r="EE162" s="258"/>
      <c r="EF162" s="258"/>
      <c r="EG162" s="258"/>
      <c r="EH162" s="258"/>
      <c r="EI162" s="258"/>
      <c r="EJ162" s="258"/>
      <c r="EK162" s="258"/>
      <c r="EL162" s="258"/>
      <c r="EM162" s="258"/>
      <c r="EN162" s="258"/>
      <c r="EO162" s="258"/>
      <c r="EP162" s="258"/>
      <c r="EQ162" s="258"/>
      <c r="ER162" s="258"/>
      <c r="ES162" s="258"/>
      <c r="ET162" s="258"/>
      <c r="EU162" s="258"/>
      <c r="EV162" s="258"/>
      <c r="EW162" s="258"/>
      <c r="EX162" s="258"/>
      <c r="EY162" s="258"/>
      <c r="EZ162" s="258"/>
      <c r="FA162" s="258"/>
      <c r="FB162" s="258"/>
      <c r="FC162" s="258"/>
      <c r="FD162" s="258"/>
      <c r="FE162" s="258"/>
      <c r="FF162" s="258"/>
      <c r="FG162" s="258"/>
      <c r="FH162" s="258"/>
      <c r="FI162" s="258"/>
      <c r="FJ162" s="258"/>
      <c r="FK162" s="258"/>
      <c r="FL162" s="258"/>
      <c r="FM162" s="258"/>
      <c r="FN162" s="258"/>
      <c r="FO162" s="258"/>
      <c r="FP162" s="258"/>
      <c r="FQ162" s="258"/>
      <c r="FR162" s="258"/>
      <c r="FS162" s="258"/>
      <c r="FT162" s="258"/>
      <c r="FU162" s="258"/>
      <c r="FV162" s="258"/>
      <c r="FW162" s="258"/>
      <c r="FX162" s="258"/>
      <c r="FY162" s="258"/>
      <c r="FZ162" s="258"/>
      <c r="GA162" s="258"/>
      <c r="GB162" s="258"/>
      <c r="GC162" s="258"/>
      <c r="GD162" s="258"/>
      <c r="GE162" s="258"/>
      <c r="GF162" s="258"/>
      <c r="GG162" s="258"/>
      <c r="GH162" s="258"/>
      <c r="GI162" s="258"/>
      <c r="GJ162" s="258"/>
      <c r="GK162" s="258"/>
      <c r="GL162" s="258"/>
      <c r="GM162" s="258"/>
      <c r="GN162" s="258"/>
      <c r="GO162" s="258"/>
      <c r="GP162" s="258"/>
      <c r="GQ162" s="258"/>
      <c r="GR162" s="258"/>
      <c r="GS162" s="258"/>
      <c r="GT162" s="258"/>
      <c r="GU162" s="258"/>
      <c r="GV162" s="258"/>
      <c r="GW162" s="258"/>
      <c r="GX162" s="258"/>
      <c r="GY162" s="258"/>
      <c r="GZ162" s="258"/>
      <c r="HA162" s="258"/>
      <c r="HB162" s="258"/>
      <c r="HC162" s="258"/>
      <c r="HD162" s="258"/>
      <c r="HE162" s="258"/>
      <c r="HF162" s="258"/>
      <c r="HG162" s="258"/>
      <c r="HH162" s="258"/>
      <c r="HI162" s="258"/>
      <c r="HJ162" s="258"/>
      <c r="HK162" s="258"/>
      <c r="HL162" s="258"/>
      <c r="HM162" s="258"/>
      <c r="HN162" s="258"/>
      <c r="HO162" s="258"/>
      <c r="HP162" s="258"/>
      <c r="HQ162" s="258"/>
      <c r="HR162" s="258"/>
      <c r="HS162" s="258"/>
      <c r="HT162" s="258"/>
      <c r="HU162" s="258"/>
      <c r="HV162" s="258"/>
      <c r="HW162" s="258"/>
      <c r="HX162" s="258"/>
      <c r="HY162" s="258"/>
      <c r="HZ162" s="258"/>
      <c r="IA162" s="258"/>
      <c r="IB162" s="258"/>
      <c r="IC162" s="258"/>
      <c r="ID162" s="258"/>
      <c r="IE162" s="258"/>
      <c r="IF162" s="258"/>
      <c r="IG162" s="258"/>
      <c r="IH162" s="258"/>
      <c r="II162" s="258"/>
      <c r="IJ162" s="258"/>
      <c r="IK162" s="258"/>
      <c r="IL162" s="258"/>
      <c r="IM162" s="258"/>
      <c r="IN162" s="258"/>
      <c r="IO162" s="258"/>
      <c r="IP162" s="258"/>
      <c r="IQ162" s="258"/>
      <c r="IR162" s="258"/>
      <c r="IS162" s="258"/>
      <c r="IT162" s="258"/>
      <c r="IU162" s="258"/>
      <c r="IV162" s="258"/>
      <c r="IW162" s="258"/>
    </row>
    <row r="163" spans="2:257" s="261" customFormat="1" x14ac:dyDescent="0.25">
      <c r="B163" s="278"/>
      <c r="C163" s="278"/>
      <c r="D163" s="260"/>
      <c r="E163" s="252"/>
      <c r="F163" s="260"/>
      <c r="I163" s="260"/>
      <c r="J163" s="260"/>
      <c r="K163" s="260"/>
      <c r="L163" s="260"/>
      <c r="M163" s="260"/>
      <c r="N163" s="262"/>
      <c r="O163" s="262"/>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c r="BM163" s="258"/>
      <c r="BN163" s="258"/>
      <c r="BO163" s="258"/>
      <c r="BP163" s="258"/>
      <c r="BQ163" s="258"/>
      <c r="BR163" s="258"/>
      <c r="BS163" s="258"/>
      <c r="BT163" s="258"/>
      <c r="BU163" s="258"/>
      <c r="BV163" s="258"/>
      <c r="BW163" s="258"/>
      <c r="BX163" s="258"/>
      <c r="BY163" s="258"/>
      <c r="BZ163" s="258"/>
      <c r="CA163" s="258"/>
      <c r="CB163" s="258"/>
      <c r="CC163" s="258"/>
      <c r="CD163" s="258"/>
      <c r="CE163" s="258"/>
      <c r="CF163" s="258"/>
      <c r="CG163" s="258"/>
      <c r="CH163" s="258"/>
      <c r="CI163" s="258"/>
      <c r="CJ163" s="258"/>
      <c r="CK163" s="258"/>
      <c r="CL163" s="258"/>
      <c r="CM163" s="258"/>
      <c r="CN163" s="258"/>
      <c r="CO163" s="258"/>
      <c r="CP163" s="258"/>
      <c r="CQ163" s="258"/>
      <c r="CR163" s="258"/>
      <c r="CS163" s="258"/>
      <c r="CT163" s="258"/>
      <c r="CU163" s="258"/>
      <c r="CV163" s="258"/>
      <c r="CW163" s="258"/>
      <c r="CX163" s="258"/>
      <c r="CY163" s="258"/>
      <c r="CZ163" s="258"/>
      <c r="DA163" s="258"/>
      <c r="DB163" s="258"/>
      <c r="DC163" s="258"/>
      <c r="DD163" s="258"/>
      <c r="DE163" s="258"/>
      <c r="DF163" s="258"/>
      <c r="DG163" s="258"/>
      <c r="DH163" s="258"/>
      <c r="DI163" s="258"/>
      <c r="DJ163" s="258"/>
      <c r="DK163" s="258"/>
      <c r="DL163" s="258"/>
      <c r="DM163" s="258"/>
      <c r="DN163" s="258"/>
      <c r="DO163" s="258"/>
      <c r="DP163" s="258"/>
      <c r="DQ163" s="258"/>
      <c r="DR163" s="258"/>
      <c r="DS163" s="258"/>
      <c r="DT163" s="258"/>
      <c r="DU163" s="258"/>
      <c r="DV163" s="258"/>
      <c r="DW163" s="258"/>
      <c r="DX163" s="258"/>
      <c r="DY163" s="258"/>
      <c r="DZ163" s="258"/>
      <c r="EA163" s="258"/>
      <c r="EB163" s="258"/>
      <c r="EC163" s="258"/>
      <c r="ED163" s="258"/>
      <c r="EE163" s="258"/>
      <c r="EF163" s="258"/>
      <c r="EG163" s="258"/>
      <c r="EH163" s="258"/>
      <c r="EI163" s="258"/>
      <c r="EJ163" s="258"/>
      <c r="EK163" s="258"/>
      <c r="EL163" s="258"/>
      <c r="EM163" s="258"/>
      <c r="EN163" s="258"/>
      <c r="EO163" s="258"/>
      <c r="EP163" s="258"/>
      <c r="EQ163" s="258"/>
      <c r="ER163" s="258"/>
      <c r="ES163" s="258"/>
      <c r="ET163" s="258"/>
      <c r="EU163" s="258"/>
      <c r="EV163" s="258"/>
      <c r="EW163" s="258"/>
      <c r="EX163" s="258"/>
      <c r="EY163" s="258"/>
      <c r="EZ163" s="258"/>
      <c r="FA163" s="258"/>
      <c r="FB163" s="258"/>
      <c r="FC163" s="258"/>
      <c r="FD163" s="258"/>
      <c r="FE163" s="258"/>
      <c r="FF163" s="258"/>
      <c r="FG163" s="258"/>
      <c r="FH163" s="258"/>
      <c r="FI163" s="258"/>
      <c r="FJ163" s="258"/>
      <c r="FK163" s="258"/>
      <c r="FL163" s="258"/>
      <c r="FM163" s="258"/>
      <c r="FN163" s="258"/>
      <c r="FO163" s="258"/>
      <c r="FP163" s="258"/>
      <c r="FQ163" s="258"/>
      <c r="FR163" s="258"/>
      <c r="FS163" s="258"/>
      <c r="FT163" s="258"/>
      <c r="FU163" s="258"/>
      <c r="FV163" s="258"/>
      <c r="FW163" s="258"/>
      <c r="FX163" s="258"/>
      <c r="FY163" s="258"/>
      <c r="FZ163" s="258"/>
      <c r="GA163" s="258"/>
      <c r="GB163" s="258"/>
      <c r="GC163" s="258"/>
      <c r="GD163" s="258"/>
      <c r="GE163" s="258"/>
      <c r="GF163" s="258"/>
      <c r="GG163" s="258"/>
      <c r="GH163" s="258"/>
      <c r="GI163" s="258"/>
      <c r="GJ163" s="258"/>
      <c r="GK163" s="258"/>
      <c r="GL163" s="258"/>
      <c r="GM163" s="258"/>
      <c r="GN163" s="258"/>
      <c r="GO163" s="258"/>
      <c r="GP163" s="258"/>
      <c r="GQ163" s="258"/>
      <c r="GR163" s="258"/>
      <c r="GS163" s="258"/>
      <c r="GT163" s="258"/>
      <c r="GU163" s="258"/>
      <c r="GV163" s="258"/>
      <c r="GW163" s="258"/>
      <c r="GX163" s="258"/>
      <c r="GY163" s="258"/>
      <c r="GZ163" s="258"/>
      <c r="HA163" s="258"/>
      <c r="HB163" s="258"/>
      <c r="HC163" s="258"/>
      <c r="HD163" s="258"/>
      <c r="HE163" s="258"/>
      <c r="HF163" s="258"/>
      <c r="HG163" s="258"/>
      <c r="HH163" s="258"/>
      <c r="HI163" s="258"/>
      <c r="HJ163" s="258"/>
      <c r="HK163" s="258"/>
      <c r="HL163" s="258"/>
      <c r="HM163" s="258"/>
      <c r="HN163" s="258"/>
      <c r="HO163" s="258"/>
      <c r="HP163" s="258"/>
      <c r="HQ163" s="258"/>
      <c r="HR163" s="258"/>
      <c r="HS163" s="258"/>
      <c r="HT163" s="258"/>
      <c r="HU163" s="258"/>
      <c r="HV163" s="258"/>
      <c r="HW163" s="258"/>
      <c r="HX163" s="258"/>
      <c r="HY163" s="258"/>
      <c r="HZ163" s="258"/>
      <c r="IA163" s="258"/>
      <c r="IB163" s="258"/>
      <c r="IC163" s="258"/>
      <c r="ID163" s="258"/>
      <c r="IE163" s="258"/>
      <c r="IF163" s="258"/>
      <c r="IG163" s="258"/>
      <c r="IH163" s="258"/>
      <c r="II163" s="258"/>
      <c r="IJ163" s="258"/>
      <c r="IK163" s="258"/>
      <c r="IL163" s="258"/>
      <c r="IM163" s="258"/>
      <c r="IN163" s="258"/>
      <c r="IO163" s="258"/>
      <c r="IP163" s="258"/>
      <c r="IQ163" s="258"/>
      <c r="IR163" s="258"/>
      <c r="IS163" s="258"/>
      <c r="IT163" s="258"/>
      <c r="IU163" s="258"/>
      <c r="IV163" s="258"/>
      <c r="IW163" s="258"/>
    </row>
    <row r="164" spans="2:257" s="260" customFormat="1" x14ac:dyDescent="0.25">
      <c r="B164" s="278"/>
      <c r="C164" s="278"/>
      <c r="G164" s="261"/>
      <c r="H164" s="261"/>
      <c r="N164" s="262"/>
      <c r="O164" s="262"/>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c r="BM164" s="258"/>
      <c r="BN164" s="258"/>
      <c r="BO164" s="258"/>
      <c r="BP164" s="258"/>
      <c r="BQ164" s="258"/>
      <c r="BR164" s="258"/>
      <c r="BS164" s="258"/>
      <c r="BT164" s="258"/>
      <c r="BU164" s="258"/>
      <c r="BV164" s="258"/>
      <c r="BW164" s="258"/>
      <c r="BX164" s="258"/>
      <c r="BY164" s="258"/>
      <c r="BZ164" s="258"/>
      <c r="CA164" s="258"/>
      <c r="CB164" s="258"/>
      <c r="CC164" s="258"/>
      <c r="CD164" s="258"/>
      <c r="CE164" s="258"/>
      <c r="CF164" s="258"/>
      <c r="CG164" s="258"/>
      <c r="CH164" s="258"/>
      <c r="CI164" s="258"/>
      <c r="CJ164" s="258"/>
      <c r="CK164" s="258"/>
      <c r="CL164" s="258"/>
      <c r="CM164" s="258"/>
      <c r="CN164" s="258"/>
      <c r="CO164" s="258"/>
      <c r="CP164" s="258"/>
      <c r="CQ164" s="258"/>
      <c r="CR164" s="258"/>
      <c r="CS164" s="258"/>
      <c r="CT164" s="258"/>
      <c r="CU164" s="258"/>
      <c r="CV164" s="258"/>
      <c r="CW164" s="258"/>
      <c r="CX164" s="258"/>
      <c r="CY164" s="258"/>
      <c r="CZ164" s="258"/>
      <c r="DA164" s="258"/>
      <c r="DB164" s="258"/>
      <c r="DC164" s="258"/>
      <c r="DD164" s="258"/>
      <c r="DE164" s="258"/>
      <c r="DF164" s="258"/>
      <c r="DG164" s="258"/>
      <c r="DH164" s="258"/>
      <c r="DI164" s="258"/>
      <c r="DJ164" s="258"/>
      <c r="DK164" s="258"/>
      <c r="DL164" s="258"/>
      <c r="DM164" s="258"/>
      <c r="DN164" s="258"/>
      <c r="DO164" s="258"/>
      <c r="DP164" s="258"/>
      <c r="DQ164" s="258"/>
      <c r="DR164" s="258"/>
      <c r="DS164" s="258"/>
      <c r="DT164" s="258"/>
      <c r="DU164" s="258"/>
      <c r="DV164" s="258"/>
      <c r="DW164" s="258"/>
      <c r="DX164" s="258"/>
      <c r="DY164" s="258"/>
      <c r="DZ164" s="258"/>
      <c r="EA164" s="258"/>
      <c r="EB164" s="258"/>
      <c r="EC164" s="258"/>
      <c r="ED164" s="258"/>
      <c r="EE164" s="258"/>
      <c r="EF164" s="258"/>
      <c r="EG164" s="258"/>
      <c r="EH164" s="258"/>
      <c r="EI164" s="258"/>
      <c r="EJ164" s="258"/>
      <c r="EK164" s="258"/>
      <c r="EL164" s="258"/>
      <c r="EM164" s="258"/>
      <c r="EN164" s="258"/>
      <c r="EO164" s="258"/>
      <c r="EP164" s="258"/>
      <c r="EQ164" s="258"/>
      <c r="ER164" s="258"/>
      <c r="ES164" s="258"/>
      <c r="ET164" s="258"/>
      <c r="EU164" s="258"/>
      <c r="EV164" s="258"/>
      <c r="EW164" s="258"/>
      <c r="EX164" s="258"/>
      <c r="EY164" s="258"/>
      <c r="EZ164" s="258"/>
      <c r="FA164" s="258"/>
      <c r="FB164" s="258"/>
      <c r="FC164" s="258"/>
      <c r="FD164" s="258"/>
      <c r="FE164" s="258"/>
      <c r="FF164" s="258"/>
      <c r="FG164" s="258"/>
      <c r="FH164" s="258"/>
      <c r="FI164" s="258"/>
      <c r="FJ164" s="258"/>
      <c r="FK164" s="258"/>
      <c r="FL164" s="258"/>
      <c r="FM164" s="258"/>
      <c r="FN164" s="258"/>
      <c r="FO164" s="258"/>
      <c r="FP164" s="258"/>
      <c r="FQ164" s="258"/>
      <c r="FR164" s="258"/>
      <c r="FS164" s="258"/>
      <c r="FT164" s="258"/>
      <c r="FU164" s="258"/>
      <c r="FV164" s="258"/>
      <c r="FW164" s="258"/>
      <c r="FX164" s="258"/>
      <c r="FY164" s="258"/>
      <c r="FZ164" s="258"/>
      <c r="GA164" s="258"/>
      <c r="GB164" s="258"/>
      <c r="GC164" s="258"/>
      <c r="GD164" s="258"/>
      <c r="GE164" s="258"/>
      <c r="GF164" s="258"/>
      <c r="GG164" s="258"/>
      <c r="GH164" s="258"/>
      <c r="GI164" s="258"/>
      <c r="GJ164" s="258"/>
      <c r="GK164" s="258"/>
      <c r="GL164" s="258"/>
      <c r="GM164" s="258"/>
      <c r="GN164" s="258"/>
      <c r="GO164" s="258"/>
      <c r="GP164" s="258"/>
      <c r="GQ164" s="258"/>
      <c r="GR164" s="258"/>
      <c r="GS164" s="258"/>
      <c r="GT164" s="258"/>
      <c r="GU164" s="258"/>
      <c r="GV164" s="258"/>
      <c r="GW164" s="258"/>
      <c r="GX164" s="258"/>
      <c r="GY164" s="258"/>
      <c r="GZ164" s="258"/>
      <c r="HA164" s="258"/>
      <c r="HB164" s="258"/>
      <c r="HC164" s="258"/>
      <c r="HD164" s="258"/>
      <c r="HE164" s="258"/>
      <c r="HF164" s="258"/>
      <c r="HG164" s="258"/>
      <c r="HH164" s="258"/>
      <c r="HI164" s="258"/>
      <c r="HJ164" s="258"/>
      <c r="HK164" s="258"/>
      <c r="HL164" s="258"/>
      <c r="HM164" s="258"/>
      <c r="HN164" s="258"/>
      <c r="HO164" s="258"/>
      <c r="HP164" s="258"/>
      <c r="HQ164" s="258"/>
      <c r="HR164" s="258"/>
      <c r="HS164" s="258"/>
      <c r="HT164" s="258"/>
      <c r="HU164" s="258"/>
      <c r="HV164" s="258"/>
      <c r="HW164" s="258"/>
      <c r="HX164" s="258"/>
      <c r="HY164" s="258"/>
      <c r="HZ164" s="258"/>
      <c r="IA164" s="258"/>
      <c r="IB164" s="258"/>
      <c r="IC164" s="258"/>
      <c r="ID164" s="258"/>
      <c r="IE164" s="258"/>
      <c r="IF164" s="258"/>
      <c r="IG164" s="258"/>
      <c r="IH164" s="258"/>
      <c r="II164" s="258"/>
      <c r="IJ164" s="258"/>
      <c r="IK164" s="258"/>
      <c r="IL164" s="258"/>
      <c r="IM164" s="258"/>
      <c r="IN164" s="258"/>
      <c r="IO164" s="258"/>
      <c r="IP164" s="258"/>
      <c r="IQ164" s="258"/>
      <c r="IR164" s="258"/>
      <c r="IS164" s="258"/>
      <c r="IT164" s="258"/>
      <c r="IU164" s="258"/>
      <c r="IV164" s="258"/>
      <c r="IW164" s="258"/>
    </row>
    <row r="165" spans="2:257" s="260" customFormat="1" x14ac:dyDescent="0.25">
      <c r="B165" s="278"/>
      <c r="C165" s="278"/>
      <c r="G165" s="261"/>
      <c r="H165" s="261"/>
      <c r="N165" s="262"/>
      <c r="O165" s="262"/>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c r="BM165" s="258"/>
      <c r="BN165" s="258"/>
      <c r="BO165" s="258"/>
      <c r="BP165" s="258"/>
      <c r="BQ165" s="258"/>
      <c r="BR165" s="258"/>
      <c r="BS165" s="258"/>
      <c r="BT165" s="258"/>
      <c r="BU165" s="258"/>
      <c r="BV165" s="258"/>
      <c r="BW165" s="258"/>
      <c r="BX165" s="258"/>
      <c r="BY165" s="258"/>
      <c r="BZ165" s="258"/>
      <c r="CA165" s="258"/>
      <c r="CB165" s="258"/>
      <c r="CC165" s="258"/>
      <c r="CD165" s="258"/>
      <c r="CE165" s="258"/>
      <c r="CF165" s="258"/>
      <c r="CG165" s="258"/>
      <c r="CH165" s="258"/>
      <c r="CI165" s="258"/>
      <c r="CJ165" s="258"/>
      <c r="CK165" s="258"/>
      <c r="CL165" s="258"/>
      <c r="CM165" s="258"/>
      <c r="CN165" s="258"/>
      <c r="CO165" s="258"/>
      <c r="CP165" s="258"/>
      <c r="CQ165" s="258"/>
      <c r="CR165" s="258"/>
      <c r="CS165" s="258"/>
      <c r="CT165" s="258"/>
      <c r="CU165" s="258"/>
      <c r="CV165" s="258"/>
      <c r="CW165" s="258"/>
      <c r="CX165" s="258"/>
      <c r="CY165" s="258"/>
      <c r="CZ165" s="258"/>
      <c r="DA165" s="258"/>
      <c r="DB165" s="258"/>
      <c r="DC165" s="258"/>
      <c r="DD165" s="258"/>
      <c r="DE165" s="258"/>
      <c r="DF165" s="258"/>
      <c r="DG165" s="258"/>
      <c r="DH165" s="258"/>
      <c r="DI165" s="258"/>
      <c r="DJ165" s="258"/>
      <c r="DK165" s="258"/>
      <c r="DL165" s="258"/>
      <c r="DM165" s="258"/>
      <c r="DN165" s="258"/>
      <c r="DO165" s="258"/>
      <c r="DP165" s="258"/>
      <c r="DQ165" s="258"/>
      <c r="DR165" s="258"/>
      <c r="DS165" s="258"/>
      <c r="DT165" s="258"/>
      <c r="DU165" s="258"/>
      <c r="DV165" s="258"/>
      <c r="DW165" s="258"/>
      <c r="DX165" s="258"/>
      <c r="DY165" s="258"/>
      <c r="DZ165" s="258"/>
      <c r="EA165" s="258"/>
      <c r="EB165" s="258"/>
      <c r="EC165" s="258"/>
      <c r="ED165" s="258"/>
      <c r="EE165" s="258"/>
      <c r="EF165" s="258"/>
      <c r="EG165" s="258"/>
      <c r="EH165" s="258"/>
      <c r="EI165" s="258"/>
      <c r="EJ165" s="258"/>
      <c r="EK165" s="258"/>
      <c r="EL165" s="258"/>
      <c r="EM165" s="258"/>
      <c r="EN165" s="258"/>
      <c r="EO165" s="258"/>
      <c r="EP165" s="258"/>
      <c r="EQ165" s="258"/>
      <c r="ER165" s="258"/>
      <c r="ES165" s="258"/>
      <c r="ET165" s="258"/>
      <c r="EU165" s="258"/>
      <c r="EV165" s="258"/>
      <c r="EW165" s="258"/>
      <c r="EX165" s="258"/>
      <c r="EY165" s="258"/>
      <c r="EZ165" s="258"/>
      <c r="FA165" s="258"/>
      <c r="FB165" s="258"/>
      <c r="FC165" s="258"/>
      <c r="FD165" s="258"/>
      <c r="FE165" s="258"/>
      <c r="FF165" s="258"/>
      <c r="FG165" s="258"/>
      <c r="FH165" s="258"/>
      <c r="FI165" s="258"/>
      <c r="FJ165" s="258"/>
      <c r="FK165" s="258"/>
      <c r="FL165" s="258"/>
      <c r="FM165" s="258"/>
      <c r="FN165" s="258"/>
      <c r="FO165" s="258"/>
      <c r="FP165" s="258"/>
      <c r="FQ165" s="258"/>
      <c r="FR165" s="258"/>
      <c r="FS165" s="258"/>
      <c r="FT165" s="258"/>
      <c r="FU165" s="258"/>
      <c r="FV165" s="258"/>
      <c r="FW165" s="258"/>
      <c r="FX165" s="258"/>
      <c r="FY165" s="258"/>
      <c r="FZ165" s="258"/>
      <c r="GA165" s="258"/>
      <c r="GB165" s="258"/>
      <c r="GC165" s="258"/>
      <c r="GD165" s="258"/>
      <c r="GE165" s="258"/>
      <c r="GF165" s="258"/>
      <c r="GG165" s="258"/>
      <c r="GH165" s="258"/>
      <c r="GI165" s="258"/>
      <c r="GJ165" s="258"/>
      <c r="GK165" s="258"/>
      <c r="GL165" s="258"/>
      <c r="GM165" s="258"/>
      <c r="GN165" s="258"/>
      <c r="GO165" s="258"/>
      <c r="GP165" s="258"/>
      <c r="GQ165" s="258"/>
      <c r="GR165" s="258"/>
      <c r="GS165" s="258"/>
      <c r="GT165" s="258"/>
      <c r="GU165" s="258"/>
      <c r="GV165" s="258"/>
      <c r="GW165" s="258"/>
      <c r="GX165" s="258"/>
      <c r="GY165" s="258"/>
      <c r="GZ165" s="258"/>
      <c r="HA165" s="258"/>
      <c r="HB165" s="258"/>
      <c r="HC165" s="258"/>
      <c r="HD165" s="258"/>
      <c r="HE165" s="258"/>
      <c r="HF165" s="258"/>
      <c r="HG165" s="258"/>
      <c r="HH165" s="258"/>
      <c r="HI165" s="258"/>
      <c r="HJ165" s="258"/>
      <c r="HK165" s="258"/>
      <c r="HL165" s="258"/>
      <c r="HM165" s="258"/>
      <c r="HN165" s="258"/>
      <c r="HO165" s="258"/>
      <c r="HP165" s="258"/>
      <c r="HQ165" s="258"/>
      <c r="HR165" s="258"/>
      <c r="HS165" s="258"/>
      <c r="HT165" s="258"/>
      <c r="HU165" s="258"/>
      <c r="HV165" s="258"/>
      <c r="HW165" s="258"/>
      <c r="HX165" s="258"/>
      <c r="HY165" s="258"/>
      <c r="HZ165" s="258"/>
      <c r="IA165" s="258"/>
      <c r="IB165" s="258"/>
      <c r="IC165" s="258"/>
      <c r="ID165" s="258"/>
      <c r="IE165" s="258"/>
      <c r="IF165" s="258"/>
      <c r="IG165" s="258"/>
      <c r="IH165" s="258"/>
      <c r="II165" s="258"/>
      <c r="IJ165" s="258"/>
      <c r="IK165" s="258"/>
      <c r="IL165" s="258"/>
      <c r="IM165" s="258"/>
      <c r="IN165" s="258"/>
      <c r="IO165" s="258"/>
      <c r="IP165" s="258"/>
      <c r="IQ165" s="258"/>
      <c r="IR165" s="258"/>
      <c r="IS165" s="258"/>
      <c r="IT165" s="258"/>
      <c r="IU165" s="258"/>
      <c r="IV165" s="258"/>
      <c r="IW165" s="258"/>
    </row>
    <row r="166" spans="2:257" s="260" customFormat="1" x14ac:dyDescent="0.25">
      <c r="B166" s="278"/>
      <c r="C166" s="278"/>
      <c r="G166" s="261"/>
      <c r="H166" s="261"/>
      <c r="N166" s="262"/>
      <c r="O166" s="262"/>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c r="BM166" s="258"/>
      <c r="BN166" s="258"/>
      <c r="BO166" s="258"/>
      <c r="BP166" s="258"/>
      <c r="BQ166" s="258"/>
      <c r="BR166" s="258"/>
      <c r="BS166" s="258"/>
      <c r="BT166" s="258"/>
      <c r="BU166" s="258"/>
      <c r="BV166" s="258"/>
      <c r="BW166" s="258"/>
      <c r="BX166" s="258"/>
      <c r="BY166" s="258"/>
      <c r="BZ166" s="258"/>
      <c r="CA166" s="258"/>
      <c r="CB166" s="258"/>
      <c r="CC166" s="258"/>
      <c r="CD166" s="258"/>
      <c r="CE166" s="258"/>
      <c r="CF166" s="258"/>
      <c r="CG166" s="258"/>
      <c r="CH166" s="258"/>
      <c r="CI166" s="258"/>
      <c r="CJ166" s="258"/>
      <c r="CK166" s="258"/>
      <c r="CL166" s="258"/>
      <c r="CM166" s="258"/>
      <c r="CN166" s="258"/>
      <c r="CO166" s="258"/>
      <c r="CP166" s="258"/>
      <c r="CQ166" s="258"/>
      <c r="CR166" s="258"/>
      <c r="CS166" s="258"/>
      <c r="CT166" s="258"/>
      <c r="CU166" s="258"/>
      <c r="CV166" s="258"/>
      <c r="CW166" s="258"/>
      <c r="CX166" s="258"/>
      <c r="CY166" s="258"/>
      <c r="CZ166" s="258"/>
      <c r="DA166" s="258"/>
      <c r="DB166" s="258"/>
      <c r="DC166" s="258"/>
      <c r="DD166" s="258"/>
      <c r="DE166" s="258"/>
      <c r="DF166" s="258"/>
      <c r="DG166" s="258"/>
      <c r="DH166" s="258"/>
      <c r="DI166" s="258"/>
      <c r="DJ166" s="258"/>
      <c r="DK166" s="258"/>
      <c r="DL166" s="258"/>
      <c r="DM166" s="258"/>
      <c r="DN166" s="258"/>
      <c r="DO166" s="258"/>
      <c r="DP166" s="258"/>
      <c r="DQ166" s="258"/>
      <c r="DR166" s="258"/>
      <c r="DS166" s="258"/>
      <c r="DT166" s="258"/>
      <c r="DU166" s="258"/>
      <c r="DV166" s="258"/>
      <c r="DW166" s="258"/>
      <c r="DX166" s="258"/>
      <c r="DY166" s="258"/>
      <c r="DZ166" s="258"/>
      <c r="EA166" s="258"/>
      <c r="EB166" s="258"/>
      <c r="EC166" s="258"/>
      <c r="ED166" s="258"/>
      <c r="EE166" s="258"/>
      <c r="EF166" s="258"/>
      <c r="EG166" s="258"/>
      <c r="EH166" s="258"/>
      <c r="EI166" s="258"/>
      <c r="EJ166" s="258"/>
      <c r="EK166" s="258"/>
      <c r="EL166" s="258"/>
      <c r="EM166" s="258"/>
      <c r="EN166" s="258"/>
      <c r="EO166" s="258"/>
      <c r="EP166" s="258"/>
      <c r="EQ166" s="258"/>
      <c r="ER166" s="258"/>
      <c r="ES166" s="258"/>
      <c r="ET166" s="258"/>
      <c r="EU166" s="258"/>
      <c r="EV166" s="258"/>
      <c r="EW166" s="258"/>
      <c r="EX166" s="258"/>
      <c r="EY166" s="258"/>
      <c r="EZ166" s="258"/>
      <c r="FA166" s="258"/>
      <c r="FB166" s="258"/>
      <c r="FC166" s="258"/>
      <c r="FD166" s="258"/>
      <c r="FE166" s="258"/>
      <c r="FF166" s="258"/>
      <c r="FG166" s="258"/>
      <c r="FH166" s="258"/>
      <c r="FI166" s="258"/>
      <c r="FJ166" s="258"/>
      <c r="FK166" s="258"/>
      <c r="FL166" s="258"/>
      <c r="FM166" s="258"/>
      <c r="FN166" s="258"/>
      <c r="FO166" s="258"/>
      <c r="FP166" s="258"/>
      <c r="FQ166" s="258"/>
      <c r="FR166" s="258"/>
      <c r="FS166" s="258"/>
      <c r="FT166" s="258"/>
      <c r="FU166" s="258"/>
      <c r="FV166" s="258"/>
      <c r="FW166" s="258"/>
      <c r="FX166" s="258"/>
      <c r="FY166" s="258"/>
      <c r="FZ166" s="258"/>
      <c r="GA166" s="258"/>
      <c r="GB166" s="258"/>
      <c r="GC166" s="258"/>
      <c r="GD166" s="258"/>
      <c r="GE166" s="258"/>
      <c r="GF166" s="258"/>
      <c r="GG166" s="258"/>
      <c r="GH166" s="258"/>
      <c r="GI166" s="258"/>
      <c r="GJ166" s="258"/>
      <c r="GK166" s="258"/>
      <c r="GL166" s="258"/>
      <c r="GM166" s="258"/>
      <c r="GN166" s="258"/>
      <c r="GO166" s="258"/>
      <c r="GP166" s="258"/>
      <c r="GQ166" s="258"/>
      <c r="GR166" s="258"/>
      <c r="GS166" s="258"/>
      <c r="GT166" s="258"/>
      <c r="GU166" s="258"/>
      <c r="GV166" s="258"/>
      <c r="GW166" s="258"/>
      <c r="GX166" s="258"/>
      <c r="GY166" s="258"/>
      <c r="GZ166" s="258"/>
      <c r="HA166" s="258"/>
      <c r="HB166" s="258"/>
      <c r="HC166" s="258"/>
      <c r="HD166" s="258"/>
      <c r="HE166" s="258"/>
      <c r="HF166" s="258"/>
      <c r="HG166" s="258"/>
      <c r="HH166" s="258"/>
      <c r="HI166" s="258"/>
      <c r="HJ166" s="258"/>
      <c r="HK166" s="258"/>
      <c r="HL166" s="258"/>
      <c r="HM166" s="258"/>
      <c r="HN166" s="258"/>
      <c r="HO166" s="258"/>
      <c r="HP166" s="258"/>
      <c r="HQ166" s="258"/>
      <c r="HR166" s="258"/>
      <c r="HS166" s="258"/>
      <c r="HT166" s="258"/>
      <c r="HU166" s="258"/>
      <c r="HV166" s="258"/>
      <c r="HW166" s="258"/>
      <c r="HX166" s="258"/>
      <c r="HY166" s="258"/>
      <c r="HZ166" s="258"/>
      <c r="IA166" s="258"/>
      <c r="IB166" s="258"/>
      <c r="IC166" s="258"/>
      <c r="ID166" s="258"/>
      <c r="IE166" s="258"/>
      <c r="IF166" s="258"/>
      <c r="IG166" s="258"/>
      <c r="IH166" s="258"/>
      <c r="II166" s="258"/>
      <c r="IJ166" s="258"/>
      <c r="IK166" s="258"/>
      <c r="IL166" s="258"/>
      <c r="IM166" s="258"/>
      <c r="IN166" s="258"/>
      <c r="IO166" s="258"/>
      <c r="IP166" s="258"/>
      <c r="IQ166" s="258"/>
      <c r="IR166" s="258"/>
      <c r="IS166" s="258"/>
      <c r="IT166" s="258"/>
      <c r="IU166" s="258"/>
      <c r="IV166" s="258"/>
      <c r="IW166" s="258"/>
    </row>
    <row r="167" spans="2:257" s="260" customFormat="1" x14ac:dyDescent="0.25">
      <c r="B167" s="278"/>
      <c r="C167" s="278"/>
      <c r="G167" s="261"/>
      <c r="H167" s="261"/>
      <c r="N167" s="262"/>
      <c r="O167" s="262"/>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c r="BM167" s="258"/>
      <c r="BN167" s="258"/>
      <c r="BO167" s="258"/>
      <c r="BP167" s="258"/>
      <c r="BQ167" s="258"/>
      <c r="BR167" s="258"/>
      <c r="BS167" s="258"/>
      <c r="BT167" s="258"/>
      <c r="BU167" s="258"/>
      <c r="BV167" s="258"/>
      <c r="BW167" s="258"/>
      <c r="BX167" s="258"/>
      <c r="BY167" s="258"/>
      <c r="BZ167" s="258"/>
      <c r="CA167" s="258"/>
      <c r="CB167" s="258"/>
      <c r="CC167" s="258"/>
      <c r="CD167" s="258"/>
      <c r="CE167" s="258"/>
      <c r="CF167" s="258"/>
      <c r="CG167" s="258"/>
      <c r="CH167" s="258"/>
      <c r="CI167" s="258"/>
      <c r="CJ167" s="258"/>
      <c r="CK167" s="258"/>
      <c r="CL167" s="258"/>
      <c r="CM167" s="258"/>
      <c r="CN167" s="258"/>
      <c r="CO167" s="258"/>
      <c r="CP167" s="258"/>
      <c r="CQ167" s="258"/>
      <c r="CR167" s="258"/>
      <c r="CS167" s="258"/>
      <c r="CT167" s="258"/>
      <c r="CU167" s="258"/>
      <c r="CV167" s="258"/>
      <c r="CW167" s="258"/>
      <c r="CX167" s="258"/>
      <c r="CY167" s="258"/>
      <c r="CZ167" s="258"/>
      <c r="DA167" s="258"/>
      <c r="DB167" s="258"/>
      <c r="DC167" s="258"/>
      <c r="DD167" s="258"/>
      <c r="DE167" s="258"/>
      <c r="DF167" s="258"/>
      <c r="DG167" s="258"/>
      <c r="DH167" s="258"/>
      <c r="DI167" s="258"/>
      <c r="DJ167" s="258"/>
      <c r="DK167" s="258"/>
      <c r="DL167" s="258"/>
      <c r="DM167" s="258"/>
      <c r="DN167" s="258"/>
      <c r="DO167" s="258"/>
      <c r="DP167" s="258"/>
      <c r="DQ167" s="258"/>
      <c r="DR167" s="258"/>
      <c r="DS167" s="258"/>
      <c r="DT167" s="258"/>
      <c r="DU167" s="258"/>
      <c r="DV167" s="258"/>
      <c r="DW167" s="258"/>
      <c r="DX167" s="258"/>
      <c r="DY167" s="258"/>
      <c r="DZ167" s="258"/>
      <c r="EA167" s="258"/>
      <c r="EB167" s="258"/>
      <c r="EC167" s="258"/>
      <c r="ED167" s="258"/>
      <c r="EE167" s="258"/>
      <c r="EF167" s="258"/>
      <c r="EG167" s="258"/>
      <c r="EH167" s="258"/>
      <c r="EI167" s="258"/>
      <c r="EJ167" s="258"/>
      <c r="EK167" s="258"/>
      <c r="EL167" s="258"/>
      <c r="EM167" s="258"/>
      <c r="EN167" s="258"/>
      <c r="EO167" s="258"/>
      <c r="EP167" s="258"/>
      <c r="EQ167" s="258"/>
      <c r="ER167" s="258"/>
      <c r="ES167" s="258"/>
      <c r="ET167" s="258"/>
      <c r="EU167" s="258"/>
      <c r="EV167" s="258"/>
      <c r="EW167" s="258"/>
      <c r="EX167" s="258"/>
      <c r="EY167" s="258"/>
      <c r="EZ167" s="258"/>
      <c r="FA167" s="258"/>
      <c r="FB167" s="258"/>
      <c r="FC167" s="258"/>
      <c r="FD167" s="258"/>
      <c r="FE167" s="258"/>
      <c r="FF167" s="258"/>
      <c r="FG167" s="258"/>
      <c r="FH167" s="258"/>
      <c r="FI167" s="258"/>
      <c r="FJ167" s="258"/>
      <c r="FK167" s="258"/>
      <c r="FL167" s="258"/>
      <c r="FM167" s="258"/>
      <c r="FN167" s="258"/>
      <c r="FO167" s="258"/>
      <c r="FP167" s="258"/>
      <c r="FQ167" s="258"/>
      <c r="FR167" s="258"/>
      <c r="FS167" s="258"/>
      <c r="FT167" s="258"/>
      <c r="FU167" s="258"/>
      <c r="FV167" s="258"/>
      <c r="FW167" s="258"/>
      <c r="FX167" s="258"/>
      <c r="FY167" s="258"/>
      <c r="FZ167" s="258"/>
      <c r="GA167" s="258"/>
      <c r="GB167" s="258"/>
      <c r="GC167" s="258"/>
      <c r="GD167" s="258"/>
      <c r="GE167" s="258"/>
      <c r="GF167" s="258"/>
      <c r="GG167" s="258"/>
      <c r="GH167" s="258"/>
      <c r="GI167" s="258"/>
      <c r="GJ167" s="258"/>
      <c r="GK167" s="258"/>
      <c r="GL167" s="258"/>
      <c r="GM167" s="258"/>
      <c r="GN167" s="258"/>
      <c r="GO167" s="258"/>
      <c r="GP167" s="258"/>
      <c r="GQ167" s="258"/>
      <c r="GR167" s="258"/>
      <c r="GS167" s="258"/>
      <c r="GT167" s="258"/>
      <c r="GU167" s="258"/>
      <c r="GV167" s="258"/>
      <c r="GW167" s="258"/>
      <c r="GX167" s="258"/>
      <c r="GY167" s="258"/>
      <c r="GZ167" s="258"/>
      <c r="HA167" s="258"/>
      <c r="HB167" s="258"/>
      <c r="HC167" s="258"/>
      <c r="HD167" s="258"/>
      <c r="HE167" s="258"/>
      <c r="HF167" s="258"/>
      <c r="HG167" s="258"/>
      <c r="HH167" s="258"/>
      <c r="HI167" s="258"/>
      <c r="HJ167" s="258"/>
      <c r="HK167" s="258"/>
      <c r="HL167" s="258"/>
      <c r="HM167" s="258"/>
      <c r="HN167" s="258"/>
      <c r="HO167" s="258"/>
      <c r="HP167" s="258"/>
      <c r="HQ167" s="258"/>
      <c r="HR167" s="258"/>
      <c r="HS167" s="258"/>
      <c r="HT167" s="258"/>
      <c r="HU167" s="258"/>
      <c r="HV167" s="258"/>
      <c r="HW167" s="258"/>
      <c r="HX167" s="258"/>
      <c r="HY167" s="258"/>
      <c r="HZ167" s="258"/>
      <c r="IA167" s="258"/>
      <c r="IB167" s="258"/>
      <c r="IC167" s="258"/>
      <c r="ID167" s="258"/>
      <c r="IE167" s="258"/>
      <c r="IF167" s="258"/>
      <c r="IG167" s="258"/>
      <c r="IH167" s="258"/>
      <c r="II167" s="258"/>
      <c r="IJ167" s="258"/>
      <c r="IK167" s="258"/>
      <c r="IL167" s="258"/>
      <c r="IM167" s="258"/>
      <c r="IN167" s="258"/>
      <c r="IO167" s="258"/>
      <c r="IP167" s="258"/>
      <c r="IQ167" s="258"/>
      <c r="IR167" s="258"/>
      <c r="IS167" s="258"/>
      <c r="IT167" s="258"/>
      <c r="IU167" s="258"/>
      <c r="IV167" s="258"/>
      <c r="IW167" s="258"/>
    </row>
    <row r="168" spans="2:257" s="260" customFormat="1" x14ac:dyDescent="0.25">
      <c r="B168" s="278"/>
      <c r="C168" s="278"/>
      <c r="G168" s="261"/>
      <c r="H168" s="261"/>
      <c r="N168" s="262"/>
      <c r="O168" s="262"/>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c r="BM168" s="258"/>
      <c r="BN168" s="258"/>
      <c r="BO168" s="258"/>
      <c r="BP168" s="258"/>
      <c r="BQ168" s="258"/>
      <c r="BR168" s="258"/>
      <c r="BS168" s="258"/>
      <c r="BT168" s="258"/>
      <c r="BU168" s="258"/>
      <c r="BV168" s="258"/>
      <c r="BW168" s="258"/>
      <c r="BX168" s="258"/>
      <c r="BY168" s="258"/>
      <c r="BZ168" s="258"/>
      <c r="CA168" s="258"/>
      <c r="CB168" s="258"/>
      <c r="CC168" s="258"/>
      <c r="CD168" s="258"/>
      <c r="CE168" s="258"/>
      <c r="CF168" s="258"/>
      <c r="CG168" s="258"/>
      <c r="CH168" s="258"/>
      <c r="CI168" s="258"/>
      <c r="CJ168" s="258"/>
      <c r="CK168" s="258"/>
      <c r="CL168" s="258"/>
      <c r="CM168" s="258"/>
      <c r="CN168" s="258"/>
      <c r="CO168" s="258"/>
      <c r="CP168" s="258"/>
      <c r="CQ168" s="258"/>
      <c r="CR168" s="258"/>
      <c r="CS168" s="258"/>
      <c r="CT168" s="258"/>
      <c r="CU168" s="258"/>
      <c r="CV168" s="258"/>
      <c r="CW168" s="258"/>
      <c r="CX168" s="258"/>
      <c r="CY168" s="258"/>
      <c r="CZ168" s="258"/>
      <c r="DA168" s="258"/>
      <c r="DB168" s="258"/>
      <c r="DC168" s="258"/>
      <c r="DD168" s="258"/>
      <c r="DE168" s="258"/>
      <c r="DF168" s="258"/>
      <c r="DG168" s="258"/>
      <c r="DH168" s="258"/>
      <c r="DI168" s="258"/>
      <c r="DJ168" s="258"/>
      <c r="DK168" s="258"/>
      <c r="DL168" s="258"/>
      <c r="DM168" s="258"/>
      <c r="DN168" s="258"/>
      <c r="DO168" s="258"/>
      <c r="DP168" s="258"/>
      <c r="DQ168" s="258"/>
      <c r="DR168" s="258"/>
      <c r="DS168" s="258"/>
      <c r="DT168" s="258"/>
      <c r="DU168" s="258"/>
      <c r="DV168" s="258"/>
      <c r="DW168" s="258"/>
      <c r="DX168" s="258"/>
      <c r="DY168" s="258"/>
      <c r="DZ168" s="258"/>
      <c r="EA168" s="258"/>
      <c r="EB168" s="258"/>
      <c r="EC168" s="258"/>
      <c r="ED168" s="258"/>
      <c r="EE168" s="258"/>
      <c r="EF168" s="258"/>
      <c r="EG168" s="258"/>
      <c r="EH168" s="258"/>
      <c r="EI168" s="258"/>
      <c r="EJ168" s="258"/>
      <c r="EK168" s="258"/>
      <c r="EL168" s="258"/>
      <c r="EM168" s="258"/>
      <c r="EN168" s="258"/>
      <c r="EO168" s="258"/>
      <c r="EP168" s="258"/>
      <c r="EQ168" s="258"/>
      <c r="ER168" s="258"/>
      <c r="ES168" s="258"/>
      <c r="ET168" s="258"/>
      <c r="EU168" s="258"/>
      <c r="EV168" s="258"/>
      <c r="EW168" s="258"/>
      <c r="EX168" s="258"/>
      <c r="EY168" s="258"/>
      <c r="EZ168" s="258"/>
      <c r="FA168" s="258"/>
      <c r="FB168" s="258"/>
      <c r="FC168" s="258"/>
      <c r="FD168" s="258"/>
      <c r="FE168" s="258"/>
      <c r="FF168" s="258"/>
      <c r="FG168" s="258"/>
      <c r="FH168" s="258"/>
      <c r="FI168" s="258"/>
      <c r="FJ168" s="258"/>
      <c r="FK168" s="258"/>
      <c r="FL168" s="258"/>
      <c r="FM168" s="258"/>
      <c r="FN168" s="258"/>
      <c r="FO168" s="258"/>
      <c r="FP168" s="258"/>
      <c r="FQ168" s="258"/>
      <c r="FR168" s="258"/>
      <c r="FS168" s="258"/>
      <c r="FT168" s="258"/>
      <c r="FU168" s="258"/>
      <c r="FV168" s="258"/>
      <c r="FW168" s="258"/>
      <c r="FX168" s="258"/>
      <c r="FY168" s="258"/>
      <c r="FZ168" s="258"/>
      <c r="GA168" s="258"/>
      <c r="GB168" s="258"/>
      <c r="GC168" s="258"/>
      <c r="GD168" s="258"/>
      <c r="GE168" s="258"/>
      <c r="GF168" s="258"/>
      <c r="GG168" s="258"/>
      <c r="GH168" s="258"/>
      <c r="GI168" s="258"/>
      <c r="GJ168" s="258"/>
      <c r="GK168" s="258"/>
      <c r="GL168" s="258"/>
      <c r="GM168" s="258"/>
      <c r="GN168" s="258"/>
      <c r="GO168" s="258"/>
      <c r="GP168" s="258"/>
      <c r="GQ168" s="258"/>
      <c r="GR168" s="258"/>
      <c r="GS168" s="258"/>
      <c r="GT168" s="258"/>
      <c r="GU168" s="258"/>
      <c r="GV168" s="258"/>
      <c r="GW168" s="258"/>
      <c r="GX168" s="258"/>
      <c r="GY168" s="258"/>
      <c r="GZ168" s="258"/>
      <c r="HA168" s="258"/>
      <c r="HB168" s="258"/>
      <c r="HC168" s="258"/>
      <c r="HD168" s="258"/>
      <c r="HE168" s="258"/>
      <c r="HF168" s="258"/>
      <c r="HG168" s="258"/>
      <c r="HH168" s="258"/>
      <c r="HI168" s="258"/>
      <c r="HJ168" s="258"/>
      <c r="HK168" s="258"/>
      <c r="HL168" s="258"/>
      <c r="HM168" s="258"/>
      <c r="HN168" s="258"/>
      <c r="HO168" s="258"/>
      <c r="HP168" s="258"/>
      <c r="HQ168" s="258"/>
      <c r="HR168" s="258"/>
      <c r="HS168" s="258"/>
      <c r="HT168" s="258"/>
      <c r="HU168" s="258"/>
      <c r="HV168" s="258"/>
      <c r="HW168" s="258"/>
      <c r="HX168" s="258"/>
      <c r="HY168" s="258"/>
      <c r="HZ168" s="258"/>
      <c r="IA168" s="258"/>
      <c r="IB168" s="258"/>
      <c r="IC168" s="258"/>
      <c r="ID168" s="258"/>
      <c r="IE168" s="258"/>
      <c r="IF168" s="258"/>
      <c r="IG168" s="258"/>
      <c r="IH168" s="258"/>
      <c r="II168" s="258"/>
      <c r="IJ168" s="258"/>
      <c r="IK168" s="258"/>
      <c r="IL168" s="258"/>
      <c r="IM168" s="258"/>
      <c r="IN168" s="258"/>
      <c r="IO168" s="258"/>
      <c r="IP168" s="258"/>
      <c r="IQ168" s="258"/>
      <c r="IR168" s="258"/>
      <c r="IS168" s="258"/>
      <c r="IT168" s="258"/>
      <c r="IU168" s="258"/>
      <c r="IV168" s="258"/>
      <c r="IW168" s="258"/>
    </row>
    <row r="169" spans="2:257" s="260" customFormat="1" x14ac:dyDescent="0.25">
      <c r="B169" s="278"/>
      <c r="C169" s="278"/>
      <c r="G169" s="261"/>
      <c r="H169" s="261"/>
      <c r="N169" s="262"/>
      <c r="O169" s="262"/>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c r="BM169" s="258"/>
      <c r="BN169" s="258"/>
      <c r="BO169" s="258"/>
      <c r="BP169" s="258"/>
      <c r="BQ169" s="258"/>
      <c r="BR169" s="258"/>
      <c r="BS169" s="258"/>
      <c r="BT169" s="258"/>
      <c r="BU169" s="258"/>
      <c r="BV169" s="258"/>
      <c r="BW169" s="258"/>
      <c r="BX169" s="258"/>
      <c r="BY169" s="258"/>
      <c r="BZ169" s="258"/>
      <c r="CA169" s="258"/>
      <c r="CB169" s="258"/>
      <c r="CC169" s="258"/>
      <c r="CD169" s="258"/>
      <c r="CE169" s="258"/>
      <c r="CF169" s="258"/>
      <c r="CG169" s="258"/>
      <c r="CH169" s="258"/>
      <c r="CI169" s="258"/>
      <c r="CJ169" s="258"/>
      <c r="CK169" s="258"/>
      <c r="CL169" s="258"/>
      <c r="CM169" s="258"/>
      <c r="CN169" s="258"/>
      <c r="CO169" s="258"/>
      <c r="CP169" s="258"/>
      <c r="CQ169" s="258"/>
      <c r="CR169" s="258"/>
      <c r="CS169" s="258"/>
      <c r="CT169" s="258"/>
      <c r="CU169" s="258"/>
      <c r="CV169" s="258"/>
      <c r="CW169" s="258"/>
      <c r="CX169" s="258"/>
      <c r="CY169" s="258"/>
      <c r="CZ169" s="258"/>
      <c r="DA169" s="258"/>
      <c r="DB169" s="258"/>
      <c r="DC169" s="258"/>
      <c r="DD169" s="258"/>
      <c r="DE169" s="258"/>
      <c r="DF169" s="258"/>
      <c r="DG169" s="258"/>
      <c r="DH169" s="258"/>
      <c r="DI169" s="258"/>
      <c r="DJ169" s="258"/>
      <c r="DK169" s="258"/>
      <c r="DL169" s="258"/>
      <c r="DM169" s="258"/>
      <c r="DN169" s="258"/>
      <c r="DO169" s="258"/>
      <c r="DP169" s="258"/>
      <c r="DQ169" s="258"/>
      <c r="DR169" s="258"/>
      <c r="DS169" s="258"/>
      <c r="DT169" s="258"/>
      <c r="DU169" s="258"/>
      <c r="DV169" s="258"/>
      <c r="DW169" s="258"/>
      <c r="DX169" s="258"/>
      <c r="DY169" s="258"/>
      <c r="DZ169" s="258"/>
      <c r="EA169" s="258"/>
      <c r="EB169" s="258"/>
      <c r="EC169" s="258"/>
      <c r="ED169" s="258"/>
      <c r="EE169" s="258"/>
      <c r="EF169" s="258"/>
      <c r="EG169" s="258"/>
      <c r="EH169" s="258"/>
      <c r="EI169" s="258"/>
      <c r="EJ169" s="258"/>
      <c r="EK169" s="258"/>
      <c r="EL169" s="258"/>
      <c r="EM169" s="258"/>
      <c r="EN169" s="258"/>
      <c r="EO169" s="258"/>
      <c r="EP169" s="258"/>
      <c r="EQ169" s="258"/>
      <c r="ER169" s="258"/>
      <c r="ES169" s="258"/>
      <c r="ET169" s="258"/>
      <c r="EU169" s="258"/>
      <c r="EV169" s="258"/>
      <c r="EW169" s="258"/>
      <c r="EX169" s="258"/>
      <c r="EY169" s="258"/>
      <c r="EZ169" s="258"/>
      <c r="FA169" s="258"/>
      <c r="FB169" s="258"/>
      <c r="FC169" s="258"/>
      <c r="FD169" s="258"/>
      <c r="FE169" s="258"/>
      <c r="FF169" s="258"/>
      <c r="FG169" s="258"/>
      <c r="FH169" s="258"/>
      <c r="FI169" s="258"/>
      <c r="FJ169" s="258"/>
      <c r="FK169" s="258"/>
      <c r="FL169" s="258"/>
      <c r="FM169" s="258"/>
      <c r="FN169" s="258"/>
      <c r="FO169" s="258"/>
      <c r="FP169" s="258"/>
      <c r="FQ169" s="258"/>
      <c r="FR169" s="258"/>
      <c r="FS169" s="258"/>
      <c r="FT169" s="258"/>
      <c r="FU169" s="258"/>
      <c r="FV169" s="258"/>
      <c r="FW169" s="258"/>
      <c r="FX169" s="258"/>
      <c r="FY169" s="258"/>
      <c r="FZ169" s="258"/>
      <c r="GA169" s="258"/>
      <c r="GB169" s="258"/>
      <c r="GC169" s="258"/>
      <c r="GD169" s="258"/>
      <c r="GE169" s="258"/>
      <c r="GF169" s="258"/>
      <c r="GG169" s="258"/>
      <c r="GH169" s="258"/>
      <c r="GI169" s="258"/>
      <c r="GJ169" s="258"/>
      <c r="GK169" s="258"/>
      <c r="GL169" s="258"/>
      <c r="GM169" s="258"/>
      <c r="GN169" s="258"/>
      <c r="GO169" s="258"/>
      <c r="GP169" s="258"/>
      <c r="GQ169" s="258"/>
      <c r="GR169" s="258"/>
      <c r="GS169" s="258"/>
      <c r="GT169" s="258"/>
      <c r="GU169" s="258"/>
      <c r="GV169" s="258"/>
      <c r="GW169" s="258"/>
      <c r="GX169" s="258"/>
      <c r="GY169" s="258"/>
      <c r="GZ169" s="258"/>
      <c r="HA169" s="258"/>
      <c r="HB169" s="258"/>
      <c r="HC169" s="258"/>
      <c r="HD169" s="258"/>
      <c r="HE169" s="258"/>
      <c r="HF169" s="258"/>
      <c r="HG169" s="258"/>
      <c r="HH169" s="258"/>
      <c r="HI169" s="258"/>
      <c r="HJ169" s="258"/>
      <c r="HK169" s="258"/>
      <c r="HL169" s="258"/>
      <c r="HM169" s="258"/>
      <c r="HN169" s="258"/>
      <c r="HO169" s="258"/>
      <c r="HP169" s="258"/>
      <c r="HQ169" s="258"/>
      <c r="HR169" s="258"/>
      <c r="HS169" s="258"/>
      <c r="HT169" s="258"/>
      <c r="HU169" s="258"/>
      <c r="HV169" s="258"/>
      <c r="HW169" s="258"/>
      <c r="HX169" s="258"/>
      <c r="HY169" s="258"/>
      <c r="HZ169" s="258"/>
      <c r="IA169" s="258"/>
      <c r="IB169" s="258"/>
      <c r="IC169" s="258"/>
      <c r="ID169" s="258"/>
      <c r="IE169" s="258"/>
      <c r="IF169" s="258"/>
      <c r="IG169" s="258"/>
      <c r="IH169" s="258"/>
      <c r="II169" s="258"/>
      <c r="IJ169" s="258"/>
      <c r="IK169" s="258"/>
      <c r="IL169" s="258"/>
      <c r="IM169" s="258"/>
      <c r="IN169" s="258"/>
      <c r="IO169" s="258"/>
      <c r="IP169" s="258"/>
      <c r="IQ169" s="258"/>
      <c r="IR169" s="258"/>
      <c r="IS169" s="258"/>
      <c r="IT169" s="258"/>
      <c r="IU169" s="258"/>
      <c r="IV169" s="258"/>
      <c r="IW169" s="258"/>
    </row>
  </sheetData>
  <phoneticPr fontId="59" type="noConversion"/>
  <pageMargins left="0.59055118110236227" right="0.59055118110236227" top="0.59055118110236227" bottom="0.39" header="0.51181102362204722" footer="0.38"/>
  <pageSetup paperSize="9" scale="55" fitToHeight="0" orientation="landscape" r:id="rId1"/>
  <headerFooter alignWithMargins="0">
    <oddFooter>&amp;C&amp;F</oddFooter>
  </headerFooter>
  <rowBreaks count="1" manualBreakCount="1">
    <brk id="115" max="13" man="1"/>
  </rowBreaks>
  <customProperties>
    <customPr name="OrphanNamesChecked" r:id="rId2"/>
  </customProperties>
  <ignoredErrors>
    <ignoredError sqref="J33 B36" numberStoredAsText="1"/>
    <ignoredError sqref="L92"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7">
    <tabColor rgb="FF00B050"/>
    <pageSetUpPr fitToPage="1"/>
  </sheetPr>
  <dimension ref="A1:K140"/>
  <sheetViews>
    <sheetView view="pageBreakPreview" zoomScaleNormal="100" zoomScaleSheetLayoutView="100" workbookViewId="0">
      <selection activeCell="C32" sqref="C32"/>
    </sheetView>
  </sheetViews>
  <sheetFormatPr defaultColWidth="9.109375" defaultRowHeight="13.2" x14ac:dyDescent="0.25"/>
  <cols>
    <col min="1" max="1" width="7.44140625" style="27" customWidth="1"/>
    <col min="2" max="2" width="52.109375" style="27" customWidth="1"/>
    <col min="3" max="3" width="14" style="65" bestFit="1" customWidth="1"/>
    <col min="4" max="4" width="14.5546875" style="65" customWidth="1"/>
    <col min="5" max="5" width="15.109375" style="65" customWidth="1"/>
    <col min="6" max="6" width="8.5546875" style="66" customWidth="1"/>
    <col min="7" max="7" width="11.44140625" style="27" bestFit="1" customWidth="1"/>
    <col min="8" max="10" width="9.109375" style="27"/>
    <col min="11" max="12" width="9.5546875" style="27" bestFit="1" customWidth="1"/>
    <col min="13" max="16384" width="9.109375" style="27"/>
  </cols>
  <sheetData>
    <row r="1" spans="1:6" x14ac:dyDescent="0.25">
      <c r="A1" s="8" t="str">
        <f>'weerhouden waarde'!A1</f>
        <v>[NAAM VENNOOTSCHAP]</v>
      </c>
    </row>
    <row r="2" spans="1:6" x14ac:dyDescent="0.25">
      <c r="B2" s="65"/>
      <c r="C2" s="64"/>
      <c r="D2" s="64"/>
      <c r="E2" s="27"/>
      <c r="F2" s="27"/>
    </row>
    <row r="3" spans="1:6" x14ac:dyDescent="0.25">
      <c r="A3" s="27" t="str">
        <f>'gecorrigeerd eigen vermogen'!A4</f>
        <v>Toestand op [afsluitdatum] (afsluitdatum)</v>
      </c>
      <c r="B3" s="65"/>
      <c r="C3" s="64"/>
      <c r="D3" s="64"/>
      <c r="E3" s="27"/>
      <c r="F3" s="27"/>
    </row>
    <row r="4" spans="1:6" x14ac:dyDescent="0.25">
      <c r="B4" s="65"/>
      <c r="C4" s="64"/>
      <c r="D4" s="64"/>
      <c r="E4" s="27"/>
      <c r="F4" s="27"/>
    </row>
    <row r="5" spans="1:6" x14ac:dyDescent="0.25">
      <c r="A5" s="8" t="s">
        <v>127</v>
      </c>
      <c r="E5" s="67"/>
      <c r="F5" s="27"/>
    </row>
    <row r="7" spans="1:6" x14ac:dyDescent="0.25">
      <c r="B7" s="27" t="s">
        <v>67</v>
      </c>
      <c r="C7" s="27"/>
      <c r="D7" s="64">
        <f>ROUND('gecorrigeerd eigen vermogen'!E44,-3)</f>
        <v>0.0</v>
      </c>
      <c r="E7" s="27"/>
      <c r="F7" s="27"/>
    </row>
    <row r="8" spans="1:6" x14ac:dyDescent="0.25">
      <c r="C8" s="27"/>
      <c r="D8" s="64"/>
      <c r="E8" s="27"/>
      <c r="F8" s="27"/>
    </row>
    <row r="9" spans="1:6" ht="15.6" x14ac:dyDescent="0.25">
      <c r="B9" s="27" t="s">
        <v>128</v>
      </c>
      <c r="C9" s="68"/>
      <c r="D9" s="64">
        <f>-E42</f>
        <v>-0.0</v>
      </c>
      <c r="E9" s="27"/>
      <c r="F9" s="27"/>
    </row>
    <row r="10" spans="1:6" x14ac:dyDescent="0.25">
      <c r="C10" s="64"/>
      <c r="D10" s="64"/>
      <c r="E10" s="27"/>
      <c r="F10" s="27"/>
    </row>
    <row r="11" spans="1:6" x14ac:dyDescent="0.25">
      <c r="B11" s="2" t="s">
        <v>129</v>
      </c>
      <c r="C11" s="2"/>
      <c r="D11" s="4">
        <f>D7+D9</f>
        <v>0.0</v>
      </c>
      <c r="E11" s="27"/>
      <c r="F11" s="27"/>
    </row>
    <row r="12" spans="1:6" x14ac:dyDescent="0.25">
      <c r="B12" s="2" t="s">
        <v>101</v>
      </c>
      <c r="C12" s="2"/>
      <c r="D12" s="4">
        <f>IF(D11&gt;0,CEILING(D11,1000),0)</f>
        <v>0.0</v>
      </c>
      <c r="E12" s="27"/>
      <c r="F12" s="27"/>
    </row>
    <row r="13" spans="1:6" x14ac:dyDescent="0.25">
      <c r="C13" s="64"/>
      <c r="D13" s="64"/>
      <c r="E13" s="27"/>
      <c r="F13" s="27"/>
    </row>
    <row r="14" spans="1:6" x14ac:dyDescent="0.25">
      <c r="B14" s="2" t="s">
        <v>130</v>
      </c>
      <c r="C14" s="2"/>
      <c r="D14" s="4">
        <f>'Gecorrigeerde vrije cash flow'!K76</f>
        <v>0.0</v>
      </c>
      <c r="E14" s="27"/>
      <c r="F14" s="27"/>
    </row>
    <row r="15" spans="1:6" x14ac:dyDescent="0.25">
      <c r="C15" s="64"/>
      <c r="D15" s="64"/>
      <c r="E15" s="27"/>
      <c r="F15" s="27"/>
    </row>
    <row r="16" spans="1:6" ht="15.6" x14ac:dyDescent="0.25">
      <c r="B16" s="27" t="s">
        <v>131</v>
      </c>
      <c r="C16" s="69">
        <f>E31</f>
        <v>0.0</v>
      </c>
      <c r="D16" s="64"/>
      <c r="E16" s="27"/>
      <c r="F16" s="27"/>
    </row>
    <row r="17" spans="1:6" ht="15.6" x14ac:dyDescent="0.25">
      <c r="B17" s="27" t="s">
        <v>132</v>
      </c>
      <c r="C17" s="628">
        <v>7</v>
      </c>
      <c r="D17" s="70" t="s">
        <v>84</v>
      </c>
      <c r="E17" s="12"/>
      <c r="F17" s="27"/>
    </row>
    <row r="18" spans="1:6" x14ac:dyDescent="0.25">
      <c r="B18" s="27" t="s">
        <v>133</v>
      </c>
      <c r="C18" s="669">
        <f>+OLO!G49+1.5%</f>
        <v>0.042690000000000006</v>
      </c>
      <c r="D18" s="64"/>
      <c r="E18" s="27"/>
      <c r="F18" s="27"/>
    </row>
    <row r="19" spans="1:6" x14ac:dyDescent="0.25">
      <c r="C19" s="27"/>
      <c r="D19" s="27"/>
      <c r="E19" s="27"/>
      <c r="F19" s="27"/>
    </row>
    <row r="20" spans="1:6" x14ac:dyDescent="0.25">
      <c r="C20" s="64"/>
      <c r="D20" s="64"/>
      <c r="E20" s="27"/>
      <c r="F20" s="27"/>
    </row>
    <row r="21" spans="1:6" x14ac:dyDescent="0.25">
      <c r="B21" s="2" t="s">
        <v>49</v>
      </c>
      <c r="C21" s="2"/>
      <c r="D21" s="4">
        <f>(D14-D12*C16)/(C18+(100/C17)%)</f>
        <v>0.0</v>
      </c>
      <c r="E21" s="27"/>
      <c r="F21" s="27"/>
    </row>
    <row r="22" spans="1:6" x14ac:dyDescent="0.25">
      <c r="B22" s="2" t="s">
        <v>134</v>
      </c>
      <c r="C22" s="2"/>
      <c r="D22" s="4">
        <f>ROUND(D21,-3)</f>
        <v>0.0</v>
      </c>
      <c r="E22" s="27"/>
      <c r="F22" s="27"/>
    </row>
    <row r="23" spans="1:6" x14ac:dyDescent="0.25">
      <c r="C23" s="64"/>
      <c r="D23" s="64"/>
      <c r="E23" s="27"/>
      <c r="F23" s="27"/>
    </row>
    <row r="24" spans="1:6" x14ac:dyDescent="0.25">
      <c r="A24" s="71"/>
      <c r="B24" s="72"/>
      <c r="C24" s="64"/>
      <c r="D24" s="64"/>
      <c r="E24" s="27"/>
      <c r="F24" s="27"/>
    </row>
    <row r="25" spans="1:6" hidden="1" x14ac:dyDescent="0.25">
      <c r="A25" s="416" t="s">
        <v>135</v>
      </c>
      <c r="B25" s="408"/>
      <c r="C25" s="436"/>
      <c r="D25" s="436"/>
      <c r="E25" s="528"/>
      <c r="F25" s="27"/>
    </row>
    <row r="26" spans="1:6" ht="13.5" hidden="1" customHeight="1" x14ac:dyDescent="0.25">
      <c r="A26" s="416"/>
      <c r="B26" s="416" t="s">
        <v>136</v>
      </c>
      <c r="C26" s="529">
        <v>0.2</v>
      </c>
      <c r="D26" s="529">
        <f>E54</f>
        <v>0.0</v>
      </c>
      <c r="E26" s="530">
        <f>C26*D26</f>
        <v>0.0</v>
      </c>
      <c r="F26" s="27"/>
    </row>
    <row r="27" spans="1:6" ht="13.5" hidden="1" customHeight="1" x14ac:dyDescent="0.25">
      <c r="A27" s="416"/>
      <c r="B27" s="416" t="s">
        <v>137</v>
      </c>
      <c r="C27" s="529">
        <v>0.12</v>
      </c>
      <c r="D27" s="529">
        <f>E55+E56</f>
        <v>0.0</v>
      </c>
      <c r="E27" s="530">
        <f>C27*D27</f>
        <v>0.0</v>
      </c>
      <c r="F27" s="27"/>
    </row>
    <row r="28" spans="1:6" ht="13.5" hidden="1" customHeight="1" x14ac:dyDescent="0.25">
      <c r="A28" s="416"/>
      <c r="B28" s="416" t="s">
        <v>138</v>
      </c>
      <c r="C28" s="529">
        <v>0.1</v>
      </c>
      <c r="D28" s="529">
        <f>E59</f>
        <v>0.0</v>
      </c>
      <c r="E28" s="530">
        <f>C28*D28</f>
        <v>0.0</v>
      </c>
      <c r="F28" s="27"/>
    </row>
    <row r="29" spans="1:6" ht="13.5" hidden="1" customHeight="1" x14ac:dyDescent="0.25">
      <c r="A29" s="416"/>
      <c r="B29" s="416" t="s">
        <v>139</v>
      </c>
      <c r="C29" s="529">
        <v>0.08</v>
      </c>
      <c r="D29" s="529">
        <f>E67</f>
        <v>0.0</v>
      </c>
      <c r="E29" s="530">
        <f>C29*D29</f>
        <v>0.0</v>
      </c>
      <c r="F29" s="27"/>
    </row>
    <row r="30" spans="1:6" ht="13.5" hidden="1" customHeight="1" x14ac:dyDescent="0.25">
      <c r="A30" s="416"/>
      <c r="B30" s="416" t="s">
        <v>140</v>
      </c>
      <c r="C30" s="529">
        <v>0.06</v>
      </c>
      <c r="D30" s="531">
        <f>E71</f>
        <v>0.0</v>
      </c>
      <c r="E30" s="532">
        <f>C30*D30</f>
        <v>0.0</v>
      </c>
      <c r="F30" s="27"/>
    </row>
    <row r="31" spans="1:6" ht="12.75" hidden="1" customHeight="1" x14ac:dyDescent="0.25">
      <c r="A31" s="416"/>
      <c r="B31" s="408"/>
      <c r="C31" s="436"/>
      <c r="D31" s="529">
        <f>SUM(D26:D30)</f>
        <v>0.0</v>
      </c>
      <c r="E31" s="530">
        <f>SUM(E26:E30)</f>
        <v>0.0</v>
      </c>
      <c r="F31" s="27"/>
    </row>
    <row r="32" spans="1:6" ht="12.75" customHeight="1" x14ac:dyDescent="0.25">
      <c r="A32" s="416"/>
      <c r="B32" s="408"/>
      <c r="C32" s="435"/>
      <c r="D32" s="771"/>
      <c r="E32" s="772"/>
      <c r="F32" s="27"/>
    </row>
    <row r="33" spans="1:6" x14ac:dyDescent="0.25">
      <c r="A33" s="533" t="s">
        <v>141</v>
      </c>
      <c r="B33" s="408"/>
      <c r="C33" s="436"/>
      <c r="D33" s="436"/>
      <c r="E33" s="408"/>
      <c r="F33" s="27"/>
    </row>
    <row r="34" spans="1:6" x14ac:dyDescent="0.25">
      <c r="A34" s="406"/>
      <c r="B34" s="534" t="s">
        <v>142</v>
      </c>
      <c r="C34" s="436"/>
      <c r="D34" s="436"/>
      <c r="E34" s="408"/>
      <c r="F34" s="27"/>
    </row>
    <row r="35" spans="1:6" x14ac:dyDescent="0.25">
      <c r="A35" s="406"/>
      <c r="B35" s="534" t="s">
        <v>143</v>
      </c>
      <c r="C35" s="436"/>
      <c r="D35" s="436"/>
      <c r="E35" s="408"/>
      <c r="F35" s="27"/>
    </row>
    <row r="36" spans="1:6" x14ac:dyDescent="0.25">
      <c r="A36" s="406"/>
      <c r="B36" s="534" t="s">
        <v>144</v>
      </c>
      <c r="C36" s="436"/>
      <c r="D36" s="436"/>
      <c r="E36" s="408"/>
      <c r="F36" s="27"/>
    </row>
    <row r="37" spans="1:6" x14ac:dyDescent="0.25">
      <c r="A37" s="406"/>
      <c r="B37" s="534" t="s">
        <v>145</v>
      </c>
      <c r="C37" s="436"/>
      <c r="D37" s="436"/>
      <c r="E37" s="408"/>
      <c r="F37" s="27"/>
    </row>
    <row r="38" spans="1:6" x14ac:dyDescent="0.25">
      <c r="A38" s="406"/>
      <c r="B38" s="534" t="s">
        <v>146</v>
      </c>
      <c r="C38" s="436"/>
      <c r="D38" s="436"/>
      <c r="E38" s="408"/>
      <c r="F38" s="27"/>
    </row>
    <row r="39" spans="1:6" x14ac:dyDescent="0.25">
      <c r="A39" s="406"/>
      <c r="B39" s="534" t="s">
        <v>147</v>
      </c>
      <c r="C39" s="436"/>
      <c r="D39" s="436"/>
      <c r="E39" s="408"/>
      <c r="F39" s="27"/>
    </row>
    <row r="40" spans="1:6" x14ac:dyDescent="0.25">
      <c r="A40" s="406"/>
      <c r="B40" s="534"/>
      <c r="C40" s="436"/>
      <c r="D40" s="436"/>
      <c r="E40" s="408"/>
      <c r="F40" s="27"/>
    </row>
    <row r="41" spans="1:6" x14ac:dyDescent="0.25">
      <c r="A41" s="67"/>
      <c r="B41" s="68"/>
      <c r="C41" s="64"/>
      <c r="D41" s="64"/>
      <c r="E41" s="27"/>
      <c r="F41" s="27"/>
    </row>
    <row r="42" spans="1:6" ht="15" x14ac:dyDescent="0.25">
      <c r="A42" s="87" t="s">
        <v>148</v>
      </c>
      <c r="B42" s="88"/>
      <c r="C42" s="89"/>
      <c r="D42" s="88"/>
      <c r="E42" s="90">
        <f>SUM(D43:D49)</f>
        <v>0.0</v>
      </c>
      <c r="F42" s="73"/>
    </row>
    <row r="43" spans="1:6" ht="15" x14ac:dyDescent="0.25">
      <c r="A43" s="87"/>
      <c r="B43" s="88"/>
      <c r="C43" s="89"/>
      <c r="D43" s="88"/>
      <c r="E43" s="90"/>
      <c r="F43" s="73"/>
    </row>
    <row r="44" spans="1:6" ht="15" x14ac:dyDescent="0.25">
      <c r="A44" s="87"/>
      <c r="B44" s="257" t="s">
        <v>149</v>
      </c>
      <c r="C44" s="89"/>
      <c r="D44" s="89"/>
      <c r="E44" s="90"/>
      <c r="F44" s="73"/>
    </row>
    <row r="45" spans="1:6" ht="15" x14ac:dyDescent="0.25">
      <c r="A45" s="87"/>
      <c r="B45" s="88" t="s">
        <v>150</v>
      </c>
      <c r="C45" s="89"/>
      <c r="D45" s="89">
        <f>D71</f>
        <v>0.0</v>
      </c>
      <c r="E45" s="90"/>
      <c r="F45" s="73"/>
    </row>
    <row r="46" spans="1:6" ht="15" x14ac:dyDescent="0.25">
      <c r="A46" s="87"/>
      <c r="B46" s="88" t="s">
        <v>151</v>
      </c>
      <c r="C46" s="89"/>
      <c r="D46" s="89"/>
      <c r="E46" s="90"/>
      <c r="F46" s="73"/>
    </row>
    <row r="47" spans="1:6" ht="15" x14ac:dyDescent="0.25">
      <c r="A47" s="87"/>
      <c r="B47" s="88" t="s">
        <v>152</v>
      </c>
      <c r="C47" s="89"/>
      <c r="D47" s="89"/>
      <c r="E47" s="90"/>
      <c r="F47" s="73"/>
    </row>
    <row r="48" spans="1:6" ht="15" x14ac:dyDescent="0.25">
      <c r="A48" s="87"/>
      <c r="B48" s="88" t="s">
        <v>153</v>
      </c>
      <c r="C48" s="89"/>
      <c r="D48" s="89"/>
      <c r="E48" s="90"/>
      <c r="F48" s="73"/>
    </row>
    <row r="49" spans="1:6" ht="15" x14ac:dyDescent="0.25">
      <c r="A49" s="87"/>
      <c r="B49" s="88" t="s">
        <v>154</v>
      </c>
      <c r="C49" s="89"/>
      <c r="D49" s="89">
        <f>E118</f>
        <v>0.0</v>
      </c>
      <c r="E49" s="835" t="s">
        <v>155</v>
      </c>
      <c r="F49" s="73"/>
    </row>
    <row r="50" spans="1:6" x14ac:dyDescent="0.25">
      <c r="A50" s="67"/>
      <c r="C50" s="64"/>
      <c r="D50" s="64"/>
      <c r="E50" s="27"/>
      <c r="F50" s="27"/>
    </row>
    <row r="51" spans="1:6" ht="13.8" hidden="1" thickBot="1" x14ac:dyDescent="0.3">
      <c r="A51" s="74" t="s">
        <v>51</v>
      </c>
      <c r="B51" s="75" t="s">
        <v>156</v>
      </c>
      <c r="C51" s="76" t="s">
        <v>157</v>
      </c>
      <c r="D51" s="77" t="s">
        <v>158</v>
      </c>
      <c r="F51" s="27"/>
    </row>
    <row r="52" spans="1:6" hidden="1" x14ac:dyDescent="0.25">
      <c r="A52" s="74"/>
      <c r="B52" s="75"/>
      <c r="C52" s="76"/>
      <c r="D52" s="78"/>
      <c r="F52" s="27"/>
    </row>
    <row r="53" spans="1:6" hidden="1" x14ac:dyDescent="0.25">
      <c r="A53" s="74" t="s">
        <v>159</v>
      </c>
      <c r="B53" s="76" t="s">
        <v>160</v>
      </c>
      <c r="C53" s="74">
        <v>20</v>
      </c>
      <c r="D53" s="79"/>
      <c r="F53" s="27"/>
    </row>
    <row r="54" spans="1:6" hidden="1" x14ac:dyDescent="0.25">
      <c r="A54" s="74" t="s">
        <v>161</v>
      </c>
      <c r="B54" s="76" t="s">
        <v>162</v>
      </c>
      <c r="C54" s="74">
        <v>21</v>
      </c>
      <c r="D54" s="79"/>
      <c r="E54" s="80">
        <f>IFERROR(D54/D74,0)</f>
        <v>0.0</v>
      </c>
      <c r="F54" s="27"/>
    </row>
    <row r="55" spans="1:6" hidden="1" x14ac:dyDescent="0.25">
      <c r="A55" s="74" t="s">
        <v>163</v>
      </c>
      <c r="B55" s="76" t="s">
        <v>164</v>
      </c>
      <c r="C55" s="81" t="s">
        <v>165</v>
      </c>
      <c r="D55" s="79"/>
      <c r="E55" s="80">
        <f>IFERROR(D55/D74,0)</f>
        <v>0.0</v>
      </c>
      <c r="F55" s="27"/>
    </row>
    <row r="56" spans="1:6" hidden="1" x14ac:dyDescent="0.25">
      <c r="A56" s="74" t="s">
        <v>166</v>
      </c>
      <c r="B56" s="76" t="s">
        <v>167</v>
      </c>
      <c r="C56" s="74">
        <v>28</v>
      </c>
      <c r="D56" s="79"/>
      <c r="E56" s="80">
        <f>IFERROR(D56/D74,0)</f>
        <v>0.0</v>
      </c>
      <c r="F56" s="27"/>
    </row>
    <row r="57" spans="1:6" hidden="1" x14ac:dyDescent="0.25">
      <c r="A57" s="74" t="s">
        <v>168</v>
      </c>
      <c r="B57" s="76" t="s">
        <v>169</v>
      </c>
      <c r="C57" s="74">
        <v>29</v>
      </c>
      <c r="D57" s="79"/>
      <c r="E57" s="80"/>
      <c r="F57" s="27"/>
    </row>
    <row r="58" spans="1:6" hidden="1" x14ac:dyDescent="0.25">
      <c r="A58" s="74" t="s">
        <v>170</v>
      </c>
      <c r="B58" s="76" t="s">
        <v>171</v>
      </c>
      <c r="C58" s="74">
        <v>3</v>
      </c>
      <c r="D58" s="82">
        <f>D59+D66</f>
        <v>0.0</v>
      </c>
      <c r="E58" s="80"/>
      <c r="F58" s="27"/>
    </row>
    <row r="59" spans="1:6" hidden="1" x14ac:dyDescent="0.25">
      <c r="A59" s="83"/>
      <c r="B59" s="76" t="s">
        <v>172</v>
      </c>
      <c r="C59" s="74" t="s">
        <v>173</v>
      </c>
      <c r="D59" s="82">
        <f>SUM(D60:D66)</f>
        <v>0.0</v>
      </c>
      <c r="E59" s="80">
        <f>IFERROR(D58/D74,0)</f>
        <v>0.0</v>
      </c>
      <c r="F59" s="27"/>
    </row>
    <row r="60" spans="1:6" hidden="1" x14ac:dyDescent="0.25">
      <c r="A60" s="83"/>
      <c r="B60" s="76" t="s">
        <v>174</v>
      </c>
      <c r="C60" s="74" t="s">
        <v>175</v>
      </c>
      <c r="D60" s="79"/>
      <c r="E60" s="80"/>
      <c r="F60" s="27"/>
    </row>
    <row r="61" spans="1:6" hidden="1" x14ac:dyDescent="0.25">
      <c r="A61" s="83"/>
      <c r="B61" s="76" t="s">
        <v>176</v>
      </c>
      <c r="C61" s="74">
        <v>32</v>
      </c>
      <c r="D61" s="79"/>
      <c r="E61" s="80"/>
      <c r="F61" s="27"/>
    </row>
    <row r="62" spans="1:6" hidden="1" x14ac:dyDescent="0.25">
      <c r="A62" s="83"/>
      <c r="B62" s="76" t="s">
        <v>177</v>
      </c>
      <c r="C62" s="74">
        <v>33</v>
      </c>
      <c r="D62" s="79"/>
      <c r="E62" s="80"/>
      <c r="F62" s="27"/>
    </row>
    <row r="63" spans="1:6" hidden="1" x14ac:dyDescent="0.25">
      <c r="A63" s="83"/>
      <c r="B63" s="76" t="s">
        <v>178</v>
      </c>
      <c r="C63" s="74">
        <v>34</v>
      </c>
      <c r="D63" s="79"/>
      <c r="E63" s="80">
        <f>IFERROR(D63/D74,0)</f>
        <v>0.0</v>
      </c>
      <c r="F63" s="27"/>
    </row>
    <row r="64" spans="1:6" hidden="1" x14ac:dyDescent="0.25">
      <c r="A64" s="83"/>
      <c r="B64" s="76" t="s">
        <v>179</v>
      </c>
      <c r="C64" s="74">
        <v>35</v>
      </c>
      <c r="D64" s="79"/>
      <c r="E64" s="80"/>
      <c r="F64" s="27"/>
    </row>
    <row r="65" spans="1:6" hidden="1" x14ac:dyDescent="0.25">
      <c r="A65" s="83"/>
      <c r="B65" s="76" t="s">
        <v>180</v>
      </c>
      <c r="C65" s="74">
        <v>36</v>
      </c>
      <c r="D65" s="79"/>
      <c r="E65" s="80"/>
      <c r="F65" s="27"/>
    </row>
    <row r="66" spans="1:6" hidden="1" x14ac:dyDescent="0.25">
      <c r="A66" s="83"/>
      <c r="B66" s="76" t="s">
        <v>181</v>
      </c>
      <c r="C66" s="74">
        <v>37</v>
      </c>
      <c r="D66" s="79"/>
      <c r="E66" s="80"/>
      <c r="F66" s="27"/>
    </row>
    <row r="67" spans="1:6" hidden="1" x14ac:dyDescent="0.25">
      <c r="A67" s="74" t="s">
        <v>182</v>
      </c>
      <c r="B67" s="76" t="s">
        <v>183</v>
      </c>
      <c r="C67" s="74" t="s">
        <v>184</v>
      </c>
      <c r="D67" s="82">
        <f>SUM(D68:D69)</f>
        <v>0.0</v>
      </c>
      <c r="E67" s="80">
        <f>IFERROR((D67+D57)/D74,0)</f>
        <v>0.0</v>
      </c>
      <c r="F67" s="27"/>
    </row>
    <row r="68" spans="1:6" hidden="1" x14ac:dyDescent="0.25">
      <c r="A68" s="83"/>
      <c r="B68" s="76" t="s">
        <v>185</v>
      </c>
      <c r="C68" s="74">
        <v>40</v>
      </c>
      <c r="D68" s="79"/>
      <c r="E68" s="80"/>
      <c r="F68" s="27"/>
    </row>
    <row r="69" spans="1:6" hidden="1" x14ac:dyDescent="0.25">
      <c r="A69" s="83"/>
      <c r="B69" s="76" t="s">
        <v>186</v>
      </c>
      <c r="C69" s="74">
        <v>41</v>
      </c>
      <c r="D69" s="79"/>
      <c r="E69" s="80"/>
    </row>
    <row r="70" spans="1:6" hidden="1" x14ac:dyDescent="0.25">
      <c r="A70" s="74" t="s">
        <v>187</v>
      </c>
      <c r="B70" s="76" t="s">
        <v>188</v>
      </c>
      <c r="C70" s="74" t="s">
        <v>189</v>
      </c>
      <c r="D70" s="79"/>
      <c r="E70" s="80"/>
    </row>
    <row r="71" spans="1:6" hidden="1" x14ac:dyDescent="0.25">
      <c r="A71" s="74" t="s">
        <v>190</v>
      </c>
      <c r="B71" s="76" t="s">
        <v>191</v>
      </c>
      <c r="C71" s="74" t="s">
        <v>192</v>
      </c>
      <c r="D71" s="79"/>
      <c r="E71" s="80">
        <f>IFERROR((D70+D71+D72)/D74,0)</f>
        <v>0.0</v>
      </c>
    </row>
    <row r="72" spans="1:6" hidden="1" x14ac:dyDescent="0.25">
      <c r="A72" s="74" t="s">
        <v>193</v>
      </c>
      <c r="B72" s="76" t="s">
        <v>194</v>
      </c>
      <c r="C72" s="74" t="s">
        <v>195</v>
      </c>
      <c r="D72" s="79"/>
      <c r="E72" s="80"/>
    </row>
    <row r="73" spans="1:6" ht="13.8" hidden="1" thickBot="1" x14ac:dyDescent="0.3">
      <c r="A73" s="83"/>
      <c r="B73" s="83"/>
      <c r="C73" s="74"/>
      <c r="D73" s="84"/>
      <c r="E73" s="80"/>
    </row>
    <row r="74" spans="1:6" ht="13.8" hidden="1" thickBot="1" x14ac:dyDescent="0.3">
      <c r="A74" s="83"/>
      <c r="B74" s="85" t="s">
        <v>196</v>
      </c>
      <c r="C74" s="74" t="s">
        <v>197</v>
      </c>
      <c r="D74" s="86">
        <f>D55+D56+D58+D67+D71+D72+D70+D57+D54+D53</f>
        <v>0.0</v>
      </c>
    </row>
    <row r="75" spans="1:6" hidden="1" x14ac:dyDescent="0.25">
      <c r="A75" s="67"/>
      <c r="C75" s="64"/>
    </row>
    <row r="76" spans="1:6" hidden="1" x14ac:dyDescent="0.25">
      <c r="A76" s="67"/>
      <c r="B76" s="85"/>
      <c r="C76" s="64"/>
    </row>
    <row r="77" spans="1:6" hidden="1" x14ac:dyDescent="0.25">
      <c r="A77" s="412" t="s">
        <v>198</v>
      </c>
      <c r="B77" s="618" t="s">
        <v>199</v>
      </c>
      <c r="C77" s="64"/>
    </row>
    <row r="78" spans="1:6" hidden="1" x14ac:dyDescent="0.25">
      <c r="A78" s="67"/>
      <c r="B78" s="618"/>
      <c r="C78" s="64"/>
      <c r="D78" s="619"/>
    </row>
    <row r="79" spans="1:6" hidden="1" x14ac:dyDescent="0.25">
      <c r="A79" s="67"/>
      <c r="B79" s="618"/>
      <c r="C79" s="64"/>
      <c r="D79" s="619"/>
    </row>
    <row r="80" spans="1:6" hidden="1" x14ac:dyDescent="0.25">
      <c r="A80" s="67"/>
      <c r="B80" s="618"/>
      <c r="C80" s="64"/>
      <c r="D80" s="619"/>
    </row>
    <row r="81" spans="1:5" hidden="1" x14ac:dyDescent="0.25">
      <c r="A81" s="67"/>
      <c r="B81" s="618"/>
      <c r="C81" s="64"/>
      <c r="D81" s="619"/>
    </row>
    <row r="82" spans="1:5" hidden="1" x14ac:dyDescent="0.25">
      <c r="A82" s="67"/>
      <c r="B82" s="618"/>
      <c r="C82" s="665"/>
    </row>
    <row r="83" spans="1:5" hidden="1" x14ac:dyDescent="0.25">
      <c r="A83" s="67"/>
      <c r="C83" s="64">
        <f>SUM(C77:C82)</f>
        <v>0.0</v>
      </c>
    </row>
    <row r="84" spans="1:5" hidden="1" x14ac:dyDescent="0.25">
      <c r="A84" s="67"/>
      <c r="C84" s="64"/>
    </row>
    <row r="85" spans="1:5" hidden="1" x14ac:dyDescent="0.25">
      <c r="A85" s="412" t="s">
        <v>200</v>
      </c>
      <c r="B85" s="618" t="s">
        <v>201</v>
      </c>
      <c r="C85" s="64"/>
    </row>
    <row r="86" spans="1:5" hidden="1" x14ac:dyDescent="0.25">
      <c r="A86" s="10"/>
      <c r="B86" s="618" t="s">
        <v>202</v>
      </c>
      <c r="C86" s="65">
        <f>D58+D67+D72</f>
        <v>0.0</v>
      </c>
    </row>
    <row r="87" spans="1:5" hidden="1" x14ac:dyDescent="0.25">
      <c r="A87" s="10"/>
      <c r="B87" s="618" t="s">
        <v>203</v>
      </c>
      <c r="C87" s="237"/>
    </row>
    <row r="88" spans="1:5" hidden="1" x14ac:dyDescent="0.25">
      <c r="A88" s="10"/>
      <c r="C88" s="65">
        <f>C86+C87</f>
        <v>0.0</v>
      </c>
    </row>
    <row r="89" spans="1:5" hidden="1" x14ac:dyDescent="0.25">
      <c r="A89" s="10"/>
    </row>
    <row r="90" spans="1:5" x14ac:dyDescent="0.25">
      <c r="A90" s="10"/>
      <c r="B90" s="838" t="s">
        <v>204</v>
      </c>
    </row>
    <row r="91" spans="1:5" ht="13.2" customHeight="1" x14ac:dyDescent="0.25">
      <c r="A91" s="10"/>
      <c r="B91" s="872" t="s">
        <v>205</v>
      </c>
      <c r="C91" s="872"/>
      <c r="D91" s="872"/>
      <c r="E91" s="872"/>
    </row>
    <row r="92" spans="1:5" x14ac:dyDescent="0.25">
      <c r="A92" s="10"/>
      <c r="B92" s="872"/>
      <c r="C92" s="872"/>
      <c r="D92" s="872"/>
      <c r="E92" s="872"/>
    </row>
    <row r="93" spans="1:5" x14ac:dyDescent="0.25">
      <c r="A93" s="10"/>
      <c r="B93" s="872"/>
      <c r="C93" s="872"/>
      <c r="D93" s="872"/>
      <c r="E93" s="872"/>
    </row>
    <row r="94" spans="1:5" x14ac:dyDescent="0.25">
      <c r="A94" s="10"/>
      <c r="B94" s="872"/>
      <c r="C94" s="872"/>
      <c r="D94" s="872"/>
      <c r="E94" s="872"/>
    </row>
    <row r="95" spans="1:5" x14ac:dyDescent="0.25">
      <c r="A95" s="10"/>
      <c r="B95" s="872"/>
      <c r="C95" s="872"/>
      <c r="D95" s="872"/>
      <c r="E95" s="872"/>
    </row>
    <row r="96" spans="1:5" x14ac:dyDescent="0.25">
      <c r="A96" s="10"/>
    </row>
    <row r="97" spans="1:5" hidden="1" x14ac:dyDescent="0.25">
      <c r="A97" s="67"/>
    </row>
    <row r="98" spans="1:5" x14ac:dyDescent="0.25">
      <c r="A98" s="67"/>
      <c r="B98" s="666"/>
      <c r="C98" s="773"/>
      <c r="D98" s="773"/>
      <c r="E98" s="774"/>
    </row>
    <row r="99" spans="1:5" x14ac:dyDescent="0.25">
      <c r="A99" s="67"/>
      <c r="B99" s="231" t="s">
        <v>206</v>
      </c>
      <c r="D99" s="65"/>
      <c r="E99" s="232"/>
    </row>
    <row r="100" spans="1:5" x14ac:dyDescent="0.25">
      <c r="A100" s="67"/>
      <c r="B100" s="231" t="s">
        <v>207</v>
      </c>
      <c r="D100" s="65"/>
      <c r="E100" s="232"/>
    </row>
    <row r="101" spans="1:5" x14ac:dyDescent="0.25">
      <c r="A101" s="67"/>
      <c r="B101" s="231" t="s">
        <v>208</v>
      </c>
      <c r="D101" s="65"/>
      <c r="E101" s="232"/>
    </row>
    <row r="102" spans="1:5" x14ac:dyDescent="0.25">
      <c r="B102" s="231" t="s">
        <v>209</v>
      </c>
      <c r="D102" s="65"/>
      <c r="E102" s="232"/>
    </row>
    <row r="103" spans="1:5" hidden="1" x14ac:dyDescent="0.25">
      <c r="B103" s="231" t="s">
        <v>210</v>
      </c>
      <c r="D103"/>
      <c r="E103" s="232"/>
    </row>
    <row r="104" spans="1:5" hidden="1" x14ac:dyDescent="0.25">
      <c r="B104" s="231" t="s">
        <v>211</v>
      </c>
      <c r="D104"/>
      <c r="E104" s="232"/>
    </row>
    <row r="105" spans="1:5" x14ac:dyDescent="0.25">
      <c r="B105" s="231" t="s">
        <v>212</v>
      </c>
      <c r="D105" s="65"/>
      <c r="E105" s="232"/>
    </row>
    <row r="106" spans="1:5" x14ac:dyDescent="0.25">
      <c r="B106" s="231" t="s">
        <v>213</v>
      </c>
      <c r="D106" s="65"/>
      <c r="E106" s="232"/>
    </row>
    <row r="107" spans="1:5" x14ac:dyDescent="0.25">
      <c r="B107" s="231" t="s">
        <v>214</v>
      </c>
      <c r="D107" s="65"/>
      <c r="E107" s="232"/>
    </row>
    <row r="108" spans="1:5" x14ac:dyDescent="0.25">
      <c r="B108" s="231" t="s">
        <v>215</v>
      </c>
      <c r="D108" s="65"/>
      <c r="E108" s="232"/>
    </row>
    <row r="109" spans="1:5" x14ac:dyDescent="0.25">
      <c r="B109" s="777" t="s">
        <v>216</v>
      </c>
      <c r="C109" s="241"/>
      <c r="D109" s="241">
        <f>SUM(D99:D108)</f>
        <v>0.0</v>
      </c>
      <c r="E109" s="236">
        <f>SUM(E99:E108)</f>
        <v>0.0</v>
      </c>
    </row>
    <row r="110" spans="1:5" x14ac:dyDescent="0.25">
      <c r="B110" s="231" t="s">
        <v>217</v>
      </c>
      <c r="D110" s="65">
        <f>'Gecorrigeerde vrije cash flow'!K12</f>
        <v>0.0</v>
      </c>
      <c r="E110" s="232">
        <f>'Gecorrigeerde vrije cash flow'!N12</f>
        <v>0.0</v>
      </c>
    </row>
    <row r="111" spans="1:5" x14ac:dyDescent="0.25">
      <c r="B111" s="778" t="s">
        <v>218</v>
      </c>
      <c r="C111" s="775"/>
      <c r="D111" s="775">
        <f>IFERROR(D109/D110,0)</f>
        <v>0.0</v>
      </c>
      <c r="E111" s="776">
        <f>IFERROR(E109/E110,0)</f>
        <v>0.0</v>
      </c>
    </row>
    <row r="113" spans="2:10" x14ac:dyDescent="0.25">
      <c r="B113" s="27" t="s">
        <v>219</v>
      </c>
      <c r="D113" s="65"/>
      <c r="E113" s="65"/>
    </row>
    <row r="114" spans="2:10" x14ac:dyDescent="0.25">
      <c r="B114" s="27" t="s">
        <v>220</v>
      </c>
      <c r="D114" s="65"/>
      <c r="E114" s="65"/>
    </row>
    <row r="116" spans="2:10" x14ac:dyDescent="0.25">
      <c r="B116" s="2" t="s">
        <v>221</v>
      </c>
      <c r="C116" s="779"/>
      <c r="D116" s="779">
        <f>IFERROR(D113/D114,0)</f>
        <v>0.0</v>
      </c>
      <c r="E116" s="779">
        <f>IFERROR(E113/E114,0)</f>
        <v>0.0</v>
      </c>
    </row>
    <row r="118" spans="2:10" x14ac:dyDescent="0.25">
      <c r="B118" s="27" t="s">
        <v>154</v>
      </c>
      <c r="E118" s="65">
        <v>0</v>
      </c>
    </row>
    <row r="120" spans="2:10" x14ac:dyDescent="0.25">
      <c r="B120" s="2" t="s">
        <v>222</v>
      </c>
      <c r="E120" s="779">
        <f>IFERROR((E113-E118)/E114,0)</f>
        <v>0.0</v>
      </c>
    </row>
    <row r="125" spans="2:10" x14ac:dyDescent="0.25">
      <c r="I125" s="27" t="s">
        <v>223</v>
      </c>
      <c r="J125" s="27">
        <f>ROUND(D55/1000,0)</f>
        <v>0.0</v>
      </c>
    </row>
    <row r="126" spans="2:10" x14ac:dyDescent="0.25">
      <c r="I126" s="27" t="s">
        <v>206</v>
      </c>
      <c r="J126" s="27">
        <f>ROUND(D58/1000,0)</f>
        <v>0.0</v>
      </c>
    </row>
    <row r="127" spans="2:10" x14ac:dyDescent="0.25">
      <c r="I127" s="27" t="s">
        <v>224</v>
      </c>
      <c r="J127" s="27">
        <f>ROUND((D57+D67)/1000,0)</f>
        <v>0.0</v>
      </c>
    </row>
    <row r="128" spans="2:10" x14ac:dyDescent="0.25">
      <c r="I128" s="27" t="s">
        <v>225</v>
      </c>
      <c r="J128" s="27">
        <f>ROUND(D72/1000,0)</f>
        <v>0.0</v>
      </c>
    </row>
    <row r="129" spans="9:11" x14ac:dyDescent="0.25">
      <c r="I129" s="27" t="s">
        <v>226</v>
      </c>
      <c r="J129" s="27">
        <f>ROUND((D70+D71)/1000,0)</f>
        <v>0.0</v>
      </c>
    </row>
    <row r="130" spans="9:11" x14ac:dyDescent="0.25">
      <c r="I130" s="27" t="s">
        <v>227</v>
      </c>
      <c r="J130" s="27">
        <f>ROUND((D53+D54+D56)/1000,0)</f>
        <v>0.0</v>
      </c>
    </row>
    <row r="131" spans="9:11" ht="13.8" thickBot="1" x14ac:dyDescent="0.3">
      <c r="J131" s="833">
        <f>SUM(J125:J130)</f>
        <v>0.0</v>
      </c>
    </row>
    <row r="132" spans="9:11" ht="13.8" thickTop="1" x14ac:dyDescent="0.25"/>
    <row r="133" spans="9:11" x14ac:dyDescent="0.25">
      <c r="I133" s="27" t="s">
        <v>228</v>
      </c>
      <c r="J133" s="27"/>
    </row>
    <row r="134" spans="9:11" x14ac:dyDescent="0.25">
      <c r="I134" s="27" t="s">
        <v>229</v>
      </c>
      <c r="J134" s="27"/>
      <c r="K134" s="27">
        <f>IFERROR(SUM(J133:J134)/J131,0)</f>
        <v>0.0</v>
      </c>
    </row>
    <row r="135" spans="9:11" x14ac:dyDescent="0.25">
      <c r="I135" s="27" t="s">
        <v>230</v>
      </c>
      <c r="J135" s="27">
        <f>ROUND(C83/1000,0)</f>
        <v>0.0</v>
      </c>
    </row>
    <row r="136" spans="9:11" x14ac:dyDescent="0.25">
      <c r="I136" s="27" t="s">
        <v>231</v>
      </c>
      <c r="J136" s="27">
        <f>ROUND(-D48/1000,0)</f>
        <v>-0.0</v>
      </c>
    </row>
    <row r="137" spans="9:11" x14ac:dyDescent="0.25">
      <c r="I137" s="27" t="s">
        <v>232</v>
      </c>
      <c r="J137" s="27"/>
    </row>
    <row r="138" spans="9:11" x14ac:dyDescent="0.25">
      <c r="I138" s="27" t="s">
        <v>225</v>
      </c>
      <c r="J138" s="27"/>
      <c r="K138" s="834">
        <f>IFERROR(SUM(J135:J138)/J131,0)</f>
        <v>0.0</v>
      </c>
    </row>
    <row r="139" spans="9:11" ht="13.8" thickBot="1" x14ac:dyDescent="0.3">
      <c r="J139" s="833">
        <f>SUM(J133:J138)</f>
        <v>0.0</v>
      </c>
    </row>
    <row r="140" spans="9:11" ht="13.8" thickTop="1" x14ac:dyDescent="0.25"/>
  </sheetData>
  <mergeCells count="1">
    <mergeCell ref="B91:E95"/>
  </mergeCells>
  <phoneticPr fontId="4" type="noConversion"/>
  <pageMargins left="0.59055118110236227" right="0.59055118110236227" top="0.59055118110236227" bottom="0.39370078740157483" header="0.51181102362204722" footer="0.39370078740157483"/>
  <pageSetup paperSize="9" scale="57" orientation="portrait" r:id="rId1"/>
  <headerFooter alignWithMargins="0">
    <oddFooter>&amp;C&amp;F</oddFooter>
  </headerFooter>
  <customProperties>
    <customPr name="OrphanNamesChecked" r:id="rId2"/>
  </customProperties>
  <ignoredErrors>
    <ignoredError sqref="D55 D68" unlockedFormula="1"/>
  </ignoredError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8">
    <tabColor rgb="FF00B050"/>
  </sheetPr>
  <dimension ref="A1:AR179"/>
  <sheetViews>
    <sheetView showGridLines="0" tabSelected="1" topLeftCell="A65" zoomScaleNormal="100" zoomScaleSheetLayoutView="100" workbookViewId="0">
      <selection activeCell="B99" sqref="B99"/>
    </sheetView>
  </sheetViews>
  <sheetFormatPr defaultColWidth="9.109375" defaultRowHeight="13.2" x14ac:dyDescent="0.25"/>
  <cols>
    <col min="1" max="1" width="1.5546875" style="27" customWidth="1"/>
    <col min="2" max="2" width="40.44140625" style="27" customWidth="1"/>
    <col min="3" max="3" width="1.44140625" style="91" customWidth="1"/>
    <col min="4" max="4" width="13.88671875" style="27" hidden="1" customWidth="1"/>
    <col min="5" max="5" width="5.44140625" style="27" hidden="1" customWidth="1"/>
    <col min="6" max="6" width="11.88671875" style="27" hidden="1" customWidth="1"/>
    <col min="7" max="7" width="4.109375" style="27" hidden="1" customWidth="1"/>
    <col min="8" max="8" width="14.44140625" style="27" customWidth="1"/>
    <col min="9" max="9" width="7.44140625" style="27" customWidth="1"/>
    <col min="10" max="10" width="2" style="27" customWidth="1"/>
    <col min="11" max="11" width="13.44140625" style="27" customWidth="1"/>
    <col min="12" max="12" width="7.44140625" style="27" customWidth="1"/>
    <col min="13" max="13" width="1.5546875" style="27" customWidth="1"/>
    <col min="14" max="14" width="13.44140625" style="27" customWidth="1"/>
    <col min="15" max="15" width="10.109375" style="27" customWidth="1"/>
    <col min="16" max="16" width="6.33203125" style="27" customWidth="1"/>
    <col min="17" max="17" width="1" style="27" customWidth="1"/>
    <col min="18" max="18" width="13.44140625" style="27" customWidth="1"/>
    <col min="19" max="19" width="9.109375" style="27" customWidth="1"/>
    <col min="20" max="20" width="2.21875" style="27" customWidth="1"/>
    <col min="21" max="22" width="9.109375" style="27"/>
    <col min="23" max="23" width="10.109375" style="27" bestFit="1" customWidth="1"/>
    <col min="24" max="16384" width="9.109375" style="27"/>
  </cols>
  <sheetData>
    <row r="1" spans="2:44" x14ac:dyDescent="0.25">
      <c r="B1" s="8" t="str">
        <f>'gecorrigeerd eigen vermogen'!A1</f>
        <v>[NAAM VENNOOTSCHAP]</v>
      </c>
      <c r="C1" s="13"/>
      <c r="F1" s="65"/>
      <c r="G1" s="64"/>
      <c r="H1" s="65"/>
      <c r="I1" s="64"/>
      <c r="J1" s="64"/>
      <c r="K1" s="64"/>
      <c r="N1" s="64"/>
    </row>
    <row r="2" spans="2:44" x14ac:dyDescent="0.25">
      <c r="F2" s="65"/>
      <c r="G2" s="64"/>
      <c r="H2" s="65"/>
      <c r="I2" s="64"/>
      <c r="J2" s="64"/>
      <c r="K2" s="64"/>
      <c r="N2" s="64"/>
    </row>
    <row r="3" spans="2:44" hidden="1" x14ac:dyDescent="0.25">
      <c r="F3" s="65"/>
      <c r="G3" s="64"/>
      <c r="H3" s="65"/>
      <c r="I3" s="64"/>
      <c r="J3" s="64"/>
      <c r="K3" s="64"/>
      <c r="N3" s="64"/>
    </row>
    <row r="4" spans="2:44" x14ac:dyDescent="0.25">
      <c r="B4" s="27" t="str">
        <f>'gecorrigeerd eigen vermogen'!A4</f>
        <v>Toestand op [afsluitdatum] (afsluitdatum)</v>
      </c>
      <c r="F4" s="65"/>
      <c r="G4" s="64"/>
      <c r="H4" s="65"/>
      <c r="I4" s="64"/>
      <c r="J4" s="64"/>
      <c r="K4" s="64"/>
      <c r="N4" s="64"/>
    </row>
    <row r="5" spans="2:44" x14ac:dyDescent="0.25">
      <c r="D5" s="64"/>
      <c r="F5" s="64"/>
      <c r="G5" s="64"/>
      <c r="H5" s="64"/>
      <c r="I5" s="64"/>
      <c r="J5" s="64"/>
      <c r="K5" s="64"/>
      <c r="N5" s="64"/>
    </row>
    <row r="6" spans="2:44" hidden="1" x14ac:dyDescent="0.25">
      <c r="D6" s="64"/>
      <c r="F6" s="64"/>
      <c r="G6" s="64"/>
      <c r="H6" s="64"/>
      <c r="I6" s="64"/>
      <c r="J6" s="64"/>
      <c r="K6" s="64"/>
      <c r="N6" s="64"/>
    </row>
    <row r="7" spans="2:44" x14ac:dyDescent="0.25">
      <c r="B7" s="8" t="s">
        <v>233</v>
      </c>
      <c r="D7" s="64"/>
      <c r="F7" s="64"/>
      <c r="G7" s="64"/>
      <c r="H7" s="64"/>
      <c r="I7" s="64"/>
      <c r="J7" s="64"/>
      <c r="K7" s="64"/>
      <c r="N7" s="881"/>
      <c r="O7" s="881"/>
      <c r="P7" s="674"/>
      <c r="R7" s="882" t="s">
        <v>234</v>
      </c>
      <c r="S7" s="882"/>
    </row>
    <row r="8" spans="2:44" hidden="1" x14ac:dyDescent="0.25">
      <c r="D8" s="64"/>
      <c r="F8" s="64"/>
      <c r="H8" s="64"/>
      <c r="K8" s="64"/>
      <c r="N8" s="64"/>
    </row>
    <row r="9" spans="2:44" x14ac:dyDescent="0.25">
      <c r="C9" s="27"/>
      <c r="D9" s="18"/>
      <c r="F9" s="18"/>
      <c r="G9" s="18"/>
      <c r="H9" s="876"/>
      <c r="I9" s="876"/>
      <c r="J9" s="18"/>
      <c r="K9" s="876"/>
      <c r="L9" s="876"/>
      <c r="M9" s="229"/>
      <c r="N9" s="876"/>
      <c r="O9" s="876"/>
      <c r="P9" s="706"/>
      <c r="R9" s="876"/>
      <c r="S9" s="876"/>
    </row>
    <row r="10" spans="2:44" ht="13.8" thickBot="1" x14ac:dyDescent="0.3">
      <c r="C10" s="27"/>
      <c r="D10" s="65"/>
      <c r="F10" s="65"/>
      <c r="G10" s="65"/>
      <c r="H10" s="877" t="s">
        <v>235</v>
      </c>
      <c r="I10" s="877"/>
      <c r="J10" s="65"/>
      <c r="K10" s="877" t="s">
        <v>235</v>
      </c>
      <c r="L10" s="877"/>
      <c r="M10" s="230"/>
      <c r="N10" s="877" t="s">
        <v>235</v>
      </c>
      <c r="O10" s="877"/>
      <c r="P10" s="707"/>
      <c r="R10" s="883" t="s">
        <v>235</v>
      </c>
      <c r="S10" s="883"/>
    </row>
    <row r="11" spans="2:44" ht="13.8" thickBot="1" x14ac:dyDescent="0.3">
      <c r="B11" s="495" t="s">
        <v>236</v>
      </c>
      <c r="C11" s="27"/>
      <c r="D11" s="65"/>
      <c r="F11" s="65"/>
      <c r="G11" s="65"/>
      <c r="H11" s="244">
        <v>1</v>
      </c>
      <c r="I11" s="65"/>
      <c r="J11" s="65"/>
      <c r="K11" s="244">
        <v>1</v>
      </c>
      <c r="L11" s="230"/>
      <c r="M11" s="230"/>
      <c r="N11" s="239">
        <v>1</v>
      </c>
      <c r="O11" s="230"/>
      <c r="P11" s="708"/>
      <c r="R11" s="683">
        <v>1</v>
      </c>
      <c r="S11" s="809"/>
    </row>
    <row r="12" spans="2:44" s="2" customFormat="1" x14ac:dyDescent="0.25">
      <c r="B12" s="474" t="s">
        <v>237</v>
      </c>
      <c r="C12" s="475"/>
      <c r="D12" s="476"/>
      <c r="E12" s="475"/>
      <c r="F12" s="477"/>
      <c r="G12" s="478"/>
      <c r="H12" s="505">
        <f>SUM(H13:H18)</f>
        <v>0.0</v>
      </c>
      <c r="I12" s="479"/>
      <c r="J12" s="480"/>
      <c r="K12" s="505">
        <f>SUM(K13:K18)</f>
        <v>0.0</v>
      </c>
      <c r="L12" s="479"/>
      <c r="M12" s="480"/>
      <c r="N12" s="508">
        <f>SUM(N13:N18)</f>
        <v>0.0</v>
      </c>
      <c r="O12" s="481"/>
      <c r="P12" s="709"/>
      <c r="Q12" s="492"/>
      <c r="R12" s="675">
        <f>SUM(R13:R18)</f>
        <v>0.0</v>
      </c>
      <c r="S12" s="481"/>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row>
    <row r="13" spans="2:44" s="2" customFormat="1" x14ac:dyDescent="0.25">
      <c r="B13" s="482" t="s">
        <v>238</v>
      </c>
      <c r="C13" s="223"/>
      <c r="D13" s="65"/>
      <c r="E13" s="223"/>
      <c r="F13" s="225"/>
      <c r="G13" s="232"/>
      <c r="H13" s="506"/>
      <c r="I13" s="796" t="str">
        <f>IFERROR(H13/H$12,"")</f>
        <v/>
      </c>
      <c r="J13" s="396"/>
      <c r="K13" s="506"/>
      <c r="L13" s="796" t="str">
        <f>IFERROR(K13/K$12,"")</f>
        <v/>
      </c>
      <c r="M13" s="396"/>
      <c r="N13" s="797"/>
      <c r="O13" s="483" t="str">
        <f>IFERROR(N13/N$12,"")</f>
        <v/>
      </c>
      <c r="P13" s="710"/>
      <c r="Q13" s="27"/>
      <c r="R13" s="676"/>
      <c r="S13" s="483" t="str">
        <f>IFERROR(R13/R$12,"")</f>
        <v/>
      </c>
      <c r="U13" s="27"/>
      <c r="V13" s="668"/>
      <c r="W13" s="27"/>
      <c r="X13" s="27"/>
      <c r="Y13" s="27"/>
      <c r="Z13" s="27"/>
      <c r="AA13" s="27"/>
      <c r="AB13" s="27"/>
      <c r="AC13" s="27"/>
      <c r="AD13" s="27"/>
      <c r="AE13" s="27"/>
      <c r="AF13" s="27"/>
      <c r="AG13" s="27"/>
      <c r="AH13" s="27"/>
      <c r="AI13" s="27"/>
      <c r="AJ13" s="27"/>
      <c r="AK13" s="27"/>
      <c r="AL13" s="27"/>
      <c r="AM13" s="27"/>
      <c r="AN13" s="27"/>
      <c r="AO13" s="27"/>
      <c r="AP13" s="27"/>
      <c r="AQ13" s="27"/>
      <c r="AR13" s="27"/>
    </row>
    <row r="14" spans="2:44" s="2" customFormat="1" hidden="1" x14ac:dyDescent="0.25">
      <c r="B14" s="482" t="s">
        <v>239</v>
      </c>
      <c r="C14" s="223"/>
      <c r="D14" s="65"/>
      <c r="E14" s="223"/>
      <c r="F14" s="225"/>
      <c r="G14" s="232"/>
      <c r="H14" s="222"/>
      <c r="I14" s="796" t="str">
        <f>IFERROR(H14/H$12,"")</f>
        <v/>
      </c>
      <c r="J14" s="233"/>
      <c r="K14" s="222"/>
      <c r="L14" s="796" t="str">
        <f>IFERROR(K14/K$12,"")</f>
        <v/>
      </c>
      <c r="M14" s="233"/>
      <c r="N14" s="798"/>
      <c r="O14" s="483" t="str">
        <f>IFERROR(N14/N$12,"")</f>
        <v/>
      </c>
      <c r="P14" s="710"/>
      <c r="Q14" s="27"/>
      <c r="R14" s="677"/>
      <c r="S14" s="483" t="str">
        <f>IFERROR(R14/R$12,"")</f>
        <v/>
      </c>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row>
    <row r="15" spans="2:44" s="2" customFormat="1" ht="12.75" hidden="1" customHeight="1" x14ac:dyDescent="0.25">
      <c r="B15" s="482" t="s">
        <v>240</v>
      </c>
      <c r="C15" s="223"/>
      <c r="D15" s="65"/>
      <c r="E15" s="223"/>
      <c r="F15" s="225"/>
      <c r="G15" s="232"/>
      <c r="H15" s="222"/>
      <c r="I15" s="796" t="str">
        <f>IFERROR(H15/H$12,"")</f>
        <v/>
      </c>
      <c r="J15" s="233"/>
      <c r="K15" s="222"/>
      <c r="L15" s="796" t="str">
        <f>IFERROR(K15/K$12,"")</f>
        <v/>
      </c>
      <c r="M15" s="233"/>
      <c r="N15" s="798"/>
      <c r="O15" s="483" t="str">
        <f>IFERROR(N15/N$12,"")</f>
        <v/>
      </c>
      <c r="P15" s="710"/>
      <c r="Q15" s="27"/>
      <c r="R15" s="677"/>
      <c r="S15" s="483" t="str">
        <f>IFERROR(R15/R$12,"")</f>
        <v/>
      </c>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row>
    <row r="16" spans="2:44" s="2" customFormat="1" ht="12.75" hidden="1" customHeight="1" x14ac:dyDescent="0.25">
      <c r="B16" s="482" t="s">
        <v>241</v>
      </c>
      <c r="C16" s="223"/>
      <c r="D16" s="65"/>
      <c r="E16" s="223"/>
      <c r="F16" s="225"/>
      <c r="G16" s="232"/>
      <c r="H16" s="222"/>
      <c r="I16" s="796" t="str">
        <f>IFERROR(H16/H$12,"")</f>
        <v/>
      </c>
      <c r="J16" s="233"/>
      <c r="K16" s="222"/>
      <c r="L16" s="796" t="str">
        <f>IFERROR(K16/K$12,"")</f>
        <v/>
      </c>
      <c r="M16" s="233"/>
      <c r="N16" s="798"/>
      <c r="O16" s="483" t="str">
        <f>IFERROR(N16/N$12,"")</f>
        <v/>
      </c>
      <c r="P16" s="710"/>
      <c r="Q16" s="27"/>
      <c r="R16" s="677"/>
      <c r="S16" s="483" t="str">
        <f>IFERROR(R16/R$12,"")</f>
        <v/>
      </c>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row>
    <row r="17" spans="2:44" s="2" customFormat="1" ht="12.75" hidden="1" customHeight="1" x14ac:dyDescent="0.25">
      <c r="B17" s="482" t="s">
        <v>242</v>
      </c>
      <c r="C17" s="223"/>
      <c r="D17" s="65"/>
      <c r="E17" s="223"/>
      <c r="F17" s="225"/>
      <c r="G17" s="232"/>
      <c r="H17" s="222"/>
      <c r="I17" s="796" t="str">
        <f>IFERROR(H17/H$12,"")</f>
        <v/>
      </c>
      <c r="J17" s="233"/>
      <c r="K17" s="222"/>
      <c r="L17" s="796" t="str">
        <f>IFERROR(K17/K$12,"")</f>
        <v/>
      </c>
      <c r="M17" s="233"/>
      <c r="N17" s="798"/>
      <c r="O17" s="483" t="str">
        <f>IFERROR(N17/N$12,"")</f>
        <v/>
      </c>
      <c r="P17" s="710"/>
      <c r="Q17" s="27"/>
      <c r="R17" s="677"/>
      <c r="S17" s="483" t="str">
        <f>IFERROR(R17/R$12,"")</f>
        <v/>
      </c>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row>
    <row r="18" spans="2:44" s="2" customFormat="1" ht="12.75" hidden="1" customHeight="1" x14ac:dyDescent="0.25">
      <c r="B18" s="482" t="s">
        <v>243</v>
      </c>
      <c r="C18" s="223"/>
      <c r="D18" s="65"/>
      <c r="E18" s="223"/>
      <c r="F18" s="225"/>
      <c r="G18" s="232"/>
      <c r="H18" s="222"/>
      <c r="I18" s="796" t="str">
        <f>IFERROR(H18/H$12,"")</f>
        <v/>
      </c>
      <c r="J18" s="233"/>
      <c r="K18" s="222"/>
      <c r="L18" s="796" t="str">
        <f>IFERROR(K18/K$12,"")</f>
        <v/>
      </c>
      <c r="M18" s="233"/>
      <c r="N18" s="798"/>
      <c r="O18" s="483" t="str">
        <f>IFERROR(N18/N$12,"")</f>
        <v/>
      </c>
      <c r="P18" s="710"/>
      <c r="Q18" s="27"/>
      <c r="R18" s="677"/>
      <c r="S18" s="483" t="str">
        <f>IFERROR(R18/R$12,"")</f>
        <v/>
      </c>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row>
    <row r="19" spans="2:44" s="2" customFormat="1" ht="12.75" customHeight="1" x14ac:dyDescent="0.25">
      <c r="B19" s="484"/>
      <c r="C19" s="223"/>
      <c r="D19" s="65"/>
      <c r="E19" s="223"/>
      <c r="F19" s="225"/>
      <c r="G19" s="232"/>
      <c r="H19" s="242"/>
      <c r="I19" s="799" t="str">
        <f>IFERROR(H19/H$12,"")</f>
        <v/>
      </c>
      <c r="J19" s="233"/>
      <c r="K19" s="242"/>
      <c r="L19" s="799" t="str">
        <f>IFERROR(K19/K$12,"")</f>
        <v/>
      </c>
      <c r="M19" s="233"/>
      <c r="N19" s="66"/>
      <c r="O19" s="485" t="str">
        <f>IFERROR(N19/N$12,"")</f>
        <v/>
      </c>
      <c r="P19" s="711"/>
      <c r="Q19" s="27"/>
      <c r="R19" s="678"/>
      <c r="S19" s="485" t="str">
        <f>IFERROR(R19/R$12,"")</f>
        <v/>
      </c>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row>
    <row r="20" spans="2:44" s="2" customFormat="1" ht="12.75" customHeight="1" x14ac:dyDescent="0.25">
      <c r="B20" s="686" t="s">
        <v>244</v>
      </c>
      <c r="C20" s="223"/>
      <c r="D20" s="65"/>
      <c r="E20" s="223"/>
      <c r="F20" s="225"/>
      <c r="G20" s="232"/>
      <c r="H20" s="507">
        <f>-SUM(H21:H24)</f>
        <v>-0.0</v>
      </c>
      <c r="I20" s="796" t="str">
        <f>IFERROR(H20/H$12,"")</f>
        <v/>
      </c>
      <c r="J20" s="233"/>
      <c r="K20" s="507">
        <f>-SUM(K21:K24)</f>
        <v>-0.0</v>
      </c>
      <c r="L20" s="796" t="str">
        <f>IFERROR(K20/K$12,"")</f>
        <v/>
      </c>
      <c r="M20" s="233"/>
      <c r="N20" s="800">
        <f>-SUM(N21:N24)</f>
        <v>-0.0</v>
      </c>
      <c r="O20" s="483" t="str">
        <f>IFERROR(N20/N$12,"")</f>
        <v/>
      </c>
      <c r="P20" s="710"/>
      <c r="Q20" s="27"/>
      <c r="R20" s="679">
        <f>-SUM(R21:R24)</f>
        <v>-0.0</v>
      </c>
      <c r="S20" s="483" t="str">
        <f>IFERROR(R20/R$12,"")</f>
        <v/>
      </c>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row>
    <row r="21" spans="2:44" s="2" customFormat="1" ht="12.75" customHeight="1" x14ac:dyDescent="0.25">
      <c r="B21" s="482" t="s">
        <v>245</v>
      </c>
      <c r="C21" s="223"/>
      <c r="D21" s="65"/>
      <c r="E21" s="223"/>
      <c r="F21" s="225"/>
      <c r="G21" s="232"/>
      <c r="H21" s="222"/>
      <c r="I21" s="796" t="str">
        <f>IFERROR(-H21/H$20,"")</f>
        <v/>
      </c>
      <c r="J21" s="233"/>
      <c r="K21" s="222"/>
      <c r="L21" s="796" t="str">
        <f>IFERROR(-K21/K$20,"")</f>
        <v/>
      </c>
      <c r="M21" s="233"/>
      <c r="N21" s="798"/>
      <c r="O21" s="483" t="str">
        <f>IFERROR(-N21/N$20,"")</f>
        <v/>
      </c>
      <c r="P21" s="710"/>
      <c r="Q21" s="27"/>
      <c r="R21" s="677"/>
      <c r="S21" s="483" t="str">
        <f>IFERROR(-R21/R$20,"")</f>
        <v/>
      </c>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row>
    <row r="22" spans="2:44" s="2" customFormat="1" ht="12.75" customHeight="1" x14ac:dyDescent="0.25">
      <c r="B22" s="482" t="s">
        <v>246</v>
      </c>
      <c r="C22" s="223"/>
      <c r="D22" s="65"/>
      <c r="E22" s="223"/>
      <c r="F22" s="225"/>
      <c r="G22" s="232"/>
      <c r="H22" s="222"/>
      <c r="I22" s="796" t="str">
        <f>IFERROR(-H22/H$20,"")</f>
        <v/>
      </c>
      <c r="J22" s="233"/>
      <c r="K22" s="222"/>
      <c r="L22" s="796" t="str">
        <f>IFERROR(-K22/K$20,"")</f>
        <v/>
      </c>
      <c r="M22" s="233"/>
      <c r="N22" s="798"/>
      <c r="O22" s="483" t="str">
        <f>IFERROR(-N22/N$20,"")</f>
        <v/>
      </c>
      <c r="P22" s="710"/>
      <c r="Q22" s="27"/>
      <c r="R22" s="677"/>
      <c r="S22" s="483" t="str">
        <f>IFERROR(-R22/R$20,"")</f>
        <v/>
      </c>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row>
    <row r="23" spans="2:44" s="2" customFormat="1" ht="12.75" customHeight="1" x14ac:dyDescent="0.25">
      <c r="B23" s="482" t="s">
        <v>247</v>
      </c>
      <c r="C23" s="223"/>
      <c r="D23" s="65"/>
      <c r="E23" s="223"/>
      <c r="F23" s="225"/>
      <c r="G23" s="232"/>
      <c r="H23" s="222"/>
      <c r="I23" s="796" t="str">
        <f>IFERROR(-H23/H$20,"")</f>
        <v/>
      </c>
      <c r="J23" s="233"/>
      <c r="K23" s="222"/>
      <c r="L23" s="796" t="str">
        <f>IFERROR(-K23/K$20,"")</f>
        <v/>
      </c>
      <c r="M23" s="233"/>
      <c r="N23" s="798"/>
      <c r="O23" s="483" t="str">
        <f>IFERROR(-N23/N$20,"")</f>
        <v/>
      </c>
      <c r="P23" s="710"/>
      <c r="Q23" s="27"/>
      <c r="R23" s="677"/>
      <c r="S23" s="483" t="str">
        <f>IFERROR(-R23/R$20,"")</f>
        <v/>
      </c>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row>
    <row r="24" spans="2:44" s="2" customFormat="1" ht="12.75" customHeight="1" x14ac:dyDescent="0.25">
      <c r="B24" s="482" t="s">
        <v>248</v>
      </c>
      <c r="C24" s="223"/>
      <c r="D24" s="65"/>
      <c r="E24" s="223"/>
      <c r="F24" s="225"/>
      <c r="G24" s="232"/>
      <c r="H24" s="222"/>
      <c r="I24" s="796" t="str">
        <f>IFERROR(-H24/H$20,"")</f>
        <v/>
      </c>
      <c r="J24" s="233"/>
      <c r="K24" s="222"/>
      <c r="L24" s="796" t="str">
        <f>IFERROR(-K24/K$20,"")</f>
        <v/>
      </c>
      <c r="M24" s="233"/>
      <c r="N24" s="798"/>
      <c r="O24" s="483" t="str">
        <f>IFERROR(-N24/N$20,"")</f>
        <v/>
      </c>
      <c r="P24" s="710"/>
      <c r="Q24" s="27"/>
      <c r="R24" s="677"/>
      <c r="S24" s="483" t="str">
        <f>IFERROR(-R24/R$20,"")</f>
        <v/>
      </c>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row>
    <row r="25" spans="2:44" s="2" customFormat="1" ht="12.75" customHeight="1" x14ac:dyDescent="0.25">
      <c r="B25" s="484"/>
      <c r="C25" s="223"/>
      <c r="D25" s="65"/>
      <c r="E25" s="223"/>
      <c r="F25" s="225"/>
      <c r="G25" s="232"/>
      <c r="H25" s="242"/>
      <c r="I25" s="799"/>
      <c r="J25" s="233"/>
      <c r="K25" s="242"/>
      <c r="L25" s="799"/>
      <c r="M25" s="233"/>
      <c r="N25" s="66"/>
      <c r="O25" s="485"/>
      <c r="P25" s="711"/>
      <c r="Q25" s="27"/>
      <c r="R25" s="678"/>
      <c r="S25" s="485"/>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row>
    <row r="26" spans="2:44" x14ac:dyDescent="0.25">
      <c r="B26" s="486" t="s">
        <v>249</v>
      </c>
      <c r="C26" s="469"/>
      <c r="D26" s="459"/>
      <c r="E26" s="471"/>
      <c r="F26" s="459"/>
      <c r="G26" s="471"/>
      <c r="H26" s="462">
        <f>H12+H20</f>
        <v>0.0</v>
      </c>
      <c r="I26" s="472" t="str">
        <f>IFERROR(H26/H$12,"")</f>
        <v/>
      </c>
      <c r="J26" s="473"/>
      <c r="K26" s="462">
        <f>K12+K20</f>
        <v>0.0</v>
      </c>
      <c r="L26" s="472" t="str">
        <f>IFERROR(K26/K$12,"")</f>
        <v/>
      </c>
      <c r="M26" s="473"/>
      <c r="N26" s="801">
        <f>N12+N20</f>
        <v>0.0</v>
      </c>
      <c r="O26" s="487" t="str">
        <f>IFERROR(N26/N$12,"")</f>
        <v/>
      </c>
      <c r="P26" s="712"/>
      <c r="R26" s="680">
        <f>R12+R20</f>
        <v>0.0</v>
      </c>
      <c r="S26" s="487" t="str">
        <f>IFERROR(R26/R$12,"")</f>
        <v/>
      </c>
    </row>
    <row r="27" spans="2:44" x14ac:dyDescent="0.25">
      <c r="B27" s="490"/>
      <c r="C27" s="223"/>
      <c r="D27" s="65"/>
      <c r="E27" s="224"/>
      <c r="F27" s="225"/>
      <c r="G27" s="224"/>
      <c r="H27" s="802"/>
      <c r="I27" s="250"/>
      <c r="J27" s="251"/>
      <c r="K27" s="802"/>
      <c r="L27" s="250"/>
      <c r="M27" s="251"/>
      <c r="N27" s="802"/>
      <c r="O27" s="491"/>
      <c r="P27" s="714"/>
      <c r="R27" s="681"/>
      <c r="S27" s="491"/>
    </row>
    <row r="28" spans="2:44" x14ac:dyDescent="0.25">
      <c r="B28" s="490" t="s">
        <v>250</v>
      </c>
      <c r="C28" s="223"/>
      <c r="D28" s="65"/>
      <c r="E28" s="224"/>
      <c r="F28" s="225"/>
      <c r="G28" s="224"/>
      <c r="H28" s="800"/>
      <c r="I28" s="227" t="str">
        <f>IFERROR(H28/H$12,"")</f>
        <v/>
      </c>
      <c r="J28" s="251"/>
      <c r="K28" s="800"/>
      <c r="L28" s="227" t="str">
        <f>IFERROR(K28/K$12,"")</f>
        <v/>
      </c>
      <c r="M28" s="251"/>
      <c r="N28" s="800"/>
      <c r="O28" s="489" t="str">
        <f>IFERROR(N28/N$12,"")</f>
        <v/>
      </c>
      <c r="P28" s="714"/>
      <c r="R28" s="679"/>
      <c r="S28" s="491" t="str">
        <f>IFERROR(R28/R$12,"")</f>
        <v/>
      </c>
    </row>
    <row r="29" spans="2:44" x14ac:dyDescent="0.25">
      <c r="B29" s="490"/>
      <c r="C29" s="223"/>
      <c r="D29" s="65"/>
      <c r="E29" s="224"/>
      <c r="F29" s="225"/>
      <c r="G29" s="224"/>
      <c r="H29" s="802"/>
      <c r="I29" s="250"/>
      <c r="J29" s="251"/>
      <c r="K29" s="802"/>
      <c r="L29" s="250"/>
      <c r="M29" s="251"/>
      <c r="N29" s="802"/>
      <c r="O29" s="491"/>
      <c r="P29" s="714"/>
      <c r="R29" s="681"/>
      <c r="S29" s="491"/>
    </row>
    <row r="30" spans="2:44" x14ac:dyDescent="0.25">
      <c r="B30" s="486" t="s">
        <v>251</v>
      </c>
      <c r="C30" s="795"/>
      <c r="D30" s="795"/>
      <c r="E30" s="486"/>
      <c r="F30" s="486"/>
      <c r="G30" s="486"/>
      <c r="H30" s="808">
        <f>H26+H28</f>
        <v>0.0</v>
      </c>
      <c r="I30" s="820" t="str">
        <f>IFERROR(H30/H$12,"")</f>
        <v/>
      </c>
      <c r="J30" s="795"/>
      <c r="K30" s="808">
        <f>K26+K28</f>
        <v>0.0</v>
      </c>
      <c r="L30" s="812" t="str">
        <f>IFERROR(K30/K$12,"")</f>
        <v/>
      </c>
      <c r="M30" s="795"/>
      <c r="N30" s="808">
        <f>N26+N28</f>
        <v>0.0</v>
      </c>
      <c r="O30" s="813" t="str">
        <f>IFERROR(N30/N$12,"")</f>
        <v/>
      </c>
      <c r="P30" s="714"/>
      <c r="R30" s="817">
        <f>R26+R28</f>
        <v>0.0</v>
      </c>
      <c r="S30" s="813" t="str">
        <f>IFERROR(R30/R$12,"")</f>
        <v/>
      </c>
    </row>
    <row r="31" spans="2:44" x14ac:dyDescent="0.25">
      <c r="B31" s="490"/>
      <c r="C31" s="223"/>
      <c r="D31" s="65"/>
      <c r="E31" s="224"/>
      <c r="F31" s="225"/>
      <c r="G31" s="224"/>
      <c r="H31" s="802"/>
      <c r="I31" s="250"/>
      <c r="J31" s="251"/>
      <c r="K31" s="802"/>
      <c r="L31" s="250"/>
      <c r="M31" s="251"/>
      <c r="N31" s="802"/>
      <c r="O31" s="491"/>
      <c r="P31" s="714"/>
      <c r="R31" s="681"/>
      <c r="S31" s="491"/>
    </row>
    <row r="32" spans="2:44" x14ac:dyDescent="0.25">
      <c r="B32" s="488" t="s">
        <v>252</v>
      </c>
      <c r="C32" s="223"/>
      <c r="D32" s="65"/>
      <c r="E32" s="224"/>
      <c r="F32" s="225"/>
      <c r="G32" s="224"/>
      <c r="H32" s="797">
        <f>SUM(H33:H39)</f>
        <v>0.0</v>
      </c>
      <c r="I32" s="227" t="str">
        <f>IFERROR(H32/H$12,"")</f>
        <v/>
      </c>
      <c r="J32" s="226"/>
      <c r="K32" s="797">
        <f>SUM(K33:K39)</f>
        <v>0.0</v>
      </c>
      <c r="L32" s="227" t="str">
        <f>IFERROR(K32/K$12,"")</f>
        <v/>
      </c>
      <c r="M32" s="226"/>
      <c r="N32" s="797">
        <f>SUM(N33:N39)</f>
        <v>0.0</v>
      </c>
      <c r="O32" s="489" t="str">
        <f>IFERROR(N32/N$12,"")</f>
        <v/>
      </c>
      <c r="P32" s="713"/>
      <c r="R32" s="676">
        <f>SUM(R33:R39)</f>
        <v>0.0</v>
      </c>
      <c r="S32" s="489" t="str">
        <f>IFERROR(R32/R$12,"")</f>
        <v/>
      </c>
      <c r="U32" s="668"/>
      <c r="V32" s="668"/>
      <c r="W32" s="668"/>
      <c r="X32" s="668"/>
    </row>
    <row r="33" spans="2:19" x14ac:dyDescent="0.25">
      <c r="B33" s="482" t="s">
        <v>253</v>
      </c>
      <c r="C33" s="223"/>
      <c r="D33" s="65"/>
      <c r="E33" s="224"/>
      <c r="F33" s="225"/>
      <c r="G33" s="224"/>
      <c r="H33" s="797"/>
      <c r="I33" s="227" t="str">
        <f>IFERROR(H33/H$32,"")</f>
        <v/>
      </c>
      <c r="J33" s="226"/>
      <c r="K33" s="797"/>
      <c r="L33" s="227" t="str">
        <f>IFERROR(K33/K$32,"")</f>
        <v/>
      </c>
      <c r="M33" s="226"/>
      <c r="N33" s="797"/>
      <c r="O33" s="489" t="str">
        <f>IFERROR(N33/N$32,"")</f>
        <v/>
      </c>
      <c r="P33" s="713"/>
      <c r="R33" s="676"/>
      <c r="S33" s="489" t="str">
        <f>IFERROR(R33/R$32,"")</f>
        <v/>
      </c>
    </row>
    <row r="34" spans="2:19" x14ac:dyDescent="0.25">
      <c r="B34" s="482" t="s">
        <v>254</v>
      </c>
      <c r="C34" s="223"/>
      <c r="D34" s="65"/>
      <c r="E34" s="224"/>
      <c r="F34" s="225"/>
      <c r="G34" s="224"/>
      <c r="H34" s="797"/>
      <c r="I34" s="227" t="str">
        <f>IFERROR(H34/H$32,"")</f>
        <v/>
      </c>
      <c r="J34" s="226"/>
      <c r="K34" s="797"/>
      <c r="L34" s="227" t="str">
        <f>IFERROR(K34/K$32,"")</f>
        <v/>
      </c>
      <c r="M34" s="226"/>
      <c r="N34" s="797"/>
      <c r="O34" s="489" t="str">
        <f>IFERROR(N34/N$32,"")</f>
        <v/>
      </c>
      <c r="P34" s="713"/>
      <c r="R34" s="676"/>
      <c r="S34" s="489" t="str">
        <f>IFERROR(R34/R$32,"")</f>
        <v/>
      </c>
    </row>
    <row r="35" spans="2:19" x14ac:dyDescent="0.25">
      <c r="B35" s="482" t="s">
        <v>255</v>
      </c>
      <c r="C35" s="223"/>
      <c r="D35" s="65"/>
      <c r="E35" s="224"/>
      <c r="F35" s="225"/>
      <c r="G35" s="224"/>
      <c r="H35" s="506"/>
      <c r="I35" s="227" t="str">
        <f>IFERROR(H35/H$32,"")</f>
        <v/>
      </c>
      <c r="J35" s="226"/>
      <c r="K35" s="506"/>
      <c r="L35" s="227" t="str">
        <f>IFERROR(K35/K$32,"")</f>
        <v/>
      </c>
      <c r="M35" s="226"/>
      <c r="N35" s="797"/>
      <c r="O35" s="489" t="str">
        <f>IFERROR(N35/N$32,"")</f>
        <v/>
      </c>
      <c r="P35" s="713"/>
      <c r="R35" s="676"/>
      <c r="S35" s="489" t="str">
        <f>IFERROR(R35/R$32,"")</f>
        <v/>
      </c>
    </row>
    <row r="36" spans="2:19" x14ac:dyDescent="0.25">
      <c r="B36" s="482" t="s">
        <v>256</v>
      </c>
      <c r="C36" s="223"/>
      <c r="D36" s="65"/>
      <c r="E36" s="224"/>
      <c r="F36" s="225"/>
      <c r="G36" s="224"/>
      <c r="H36" s="506"/>
      <c r="I36" s="227" t="str">
        <f>IFERROR(H36/H$32,"")</f>
        <v/>
      </c>
      <c r="J36" s="226"/>
      <c r="K36" s="506"/>
      <c r="L36" s="227" t="str">
        <f>IFERROR(K36/K$32,"")</f>
        <v/>
      </c>
      <c r="M36" s="226"/>
      <c r="N36" s="797"/>
      <c r="O36" s="489" t="str">
        <f>IFERROR(N36/N$32,"")</f>
        <v/>
      </c>
      <c r="P36" s="713"/>
      <c r="R36" s="676"/>
      <c r="S36" s="489" t="str">
        <f>IFERROR(R36/R$32,"")</f>
        <v/>
      </c>
    </row>
    <row r="37" spans="2:19" x14ac:dyDescent="0.25">
      <c r="B37" s="482" t="s">
        <v>257</v>
      </c>
      <c r="C37" s="223"/>
      <c r="D37" s="65"/>
      <c r="E37" s="224"/>
      <c r="F37" s="225"/>
      <c r="G37" s="224"/>
      <c r="H37" s="506"/>
      <c r="I37" s="227" t="str">
        <f>IFERROR(H37/H$32,"")</f>
        <v/>
      </c>
      <c r="J37" s="226"/>
      <c r="K37" s="506"/>
      <c r="L37" s="227" t="str">
        <f>IFERROR(K37/K$32,"")</f>
        <v/>
      </c>
      <c r="M37" s="226"/>
      <c r="N37" s="797"/>
      <c r="O37" s="489" t="str">
        <f>IFERROR(N37/N$32,"")</f>
        <v/>
      </c>
      <c r="P37" s="713"/>
      <c r="R37" s="676"/>
      <c r="S37" s="489" t="str">
        <f>IFERROR(R37/R$32,"")</f>
        <v/>
      </c>
    </row>
    <row r="38" spans="2:19" x14ac:dyDescent="0.25">
      <c r="B38" s="482" t="s">
        <v>258</v>
      </c>
      <c r="C38" s="223"/>
      <c r="D38" s="65"/>
      <c r="E38" s="224"/>
      <c r="F38" s="225"/>
      <c r="G38" s="224"/>
      <c r="H38" s="506"/>
      <c r="I38" s="227" t="str">
        <f>IFERROR(H38/H$32,"")</f>
        <v/>
      </c>
      <c r="J38" s="226"/>
      <c r="K38" s="506"/>
      <c r="L38" s="227" t="str">
        <f>IFERROR(K38/K$32,"")</f>
        <v/>
      </c>
      <c r="M38" s="226"/>
      <c r="N38" s="797"/>
      <c r="O38" s="489" t="str">
        <f>IFERROR(N38/N$32,"")</f>
        <v/>
      </c>
      <c r="P38" s="713"/>
      <c r="R38" s="676"/>
      <c r="S38" s="489" t="str">
        <f>IFERROR(R38/R$32,"")</f>
        <v/>
      </c>
    </row>
    <row r="39" spans="2:19" x14ac:dyDescent="0.25">
      <c r="B39" s="482" t="s">
        <v>259</v>
      </c>
      <c r="C39" s="223"/>
      <c r="D39" s="65"/>
      <c r="E39" s="224"/>
      <c r="F39" s="225"/>
      <c r="G39" s="224"/>
      <c r="H39" s="506"/>
      <c r="I39" s="227" t="str">
        <f>IFERROR(H39/H$32,"")</f>
        <v/>
      </c>
      <c r="J39" s="226"/>
      <c r="K39" s="506"/>
      <c r="L39" s="227" t="str">
        <f>IFERROR(K39/K$32,"")</f>
        <v/>
      </c>
      <c r="M39" s="226"/>
      <c r="N39" s="797"/>
      <c r="O39" s="489" t="str">
        <f>IFERROR(N39/N$32,"")</f>
        <v/>
      </c>
      <c r="P39" s="713"/>
      <c r="R39" s="676"/>
      <c r="S39" s="489" t="str">
        <f>IFERROR(R39/R$32,"")</f>
        <v/>
      </c>
    </row>
    <row r="40" spans="2:19" x14ac:dyDescent="0.25">
      <c r="B40" s="488"/>
      <c r="C40" s="223"/>
      <c r="D40" s="65"/>
      <c r="E40" s="224"/>
      <c r="F40" s="225"/>
      <c r="G40" s="224"/>
      <c r="H40" s="242"/>
      <c r="I40" s="227"/>
      <c r="J40" s="226"/>
      <c r="K40" s="242"/>
      <c r="L40" s="227"/>
      <c r="M40" s="226"/>
      <c r="N40" s="66"/>
      <c r="O40" s="489"/>
      <c r="P40" s="713"/>
      <c r="R40" s="678"/>
      <c r="S40" s="489"/>
    </row>
    <row r="41" spans="2:19" x14ac:dyDescent="0.25">
      <c r="B41" s="488" t="s">
        <v>260</v>
      </c>
      <c r="C41" s="223"/>
      <c r="D41" s="65"/>
      <c r="E41" s="224"/>
      <c r="F41" s="225"/>
      <c r="G41" s="224"/>
      <c r="H41" s="797"/>
      <c r="I41" s="227" t="str">
        <f>IFERROR(H41/H$12,"")</f>
        <v/>
      </c>
      <c r="J41" s="226"/>
      <c r="K41" s="797"/>
      <c r="L41" s="227" t="str">
        <f>IFERROR(K41/K$12,"")</f>
        <v/>
      </c>
      <c r="M41" s="226"/>
      <c r="N41" s="797"/>
      <c r="O41" s="489" t="str">
        <f>IFERROR(N41/N$12,"")</f>
        <v/>
      </c>
      <c r="P41" s="713"/>
      <c r="R41" s="676"/>
      <c r="S41" s="489" t="str">
        <f>IFERROR(R41/R$12,"")</f>
        <v/>
      </c>
    </row>
    <row r="42" spans="2:19" x14ac:dyDescent="0.25">
      <c r="B42" s="488"/>
      <c r="C42" s="223"/>
      <c r="D42" s="65"/>
      <c r="E42" s="224"/>
      <c r="F42" s="225"/>
      <c r="G42" s="224"/>
      <c r="H42" s="242"/>
      <c r="I42" s="227"/>
      <c r="J42" s="226"/>
      <c r="K42" s="242"/>
      <c r="L42" s="227"/>
      <c r="M42" s="226"/>
      <c r="N42" s="66"/>
      <c r="O42" s="489"/>
      <c r="P42" s="713"/>
      <c r="R42" s="678"/>
      <c r="S42" s="489"/>
    </row>
    <row r="43" spans="2:19" x14ac:dyDescent="0.25">
      <c r="B43" s="488" t="s">
        <v>261</v>
      </c>
      <c r="C43" s="27"/>
      <c r="D43" s="65"/>
      <c r="E43" s="228"/>
      <c r="F43" s="65"/>
      <c r="G43" s="228"/>
      <c r="H43" s="506"/>
      <c r="I43" s="227" t="str">
        <f>IFERROR(H43/H$12,"")</f>
        <v/>
      </c>
      <c r="J43" s="226"/>
      <c r="K43" s="506"/>
      <c r="L43" s="227" t="str">
        <f>IFERROR(K43/K$12,"")</f>
        <v/>
      </c>
      <c r="M43" s="226"/>
      <c r="N43" s="797"/>
      <c r="O43" s="489" t="str">
        <f>IFERROR(N43/N$12,"")</f>
        <v/>
      </c>
      <c r="P43" s="713"/>
      <c r="R43" s="676"/>
      <c r="S43" s="489" t="str">
        <f>IFERROR(R43/R$12,"")</f>
        <v/>
      </c>
    </row>
    <row r="44" spans="2:19" x14ac:dyDescent="0.25">
      <c r="B44" s="488"/>
      <c r="C44" s="27"/>
      <c r="D44" s="65"/>
      <c r="E44" s="228"/>
      <c r="F44" s="65"/>
      <c r="G44" s="228"/>
      <c r="H44" s="315"/>
      <c r="I44" s="227"/>
      <c r="J44" s="226"/>
      <c r="K44" s="315"/>
      <c r="L44" s="227"/>
      <c r="M44" s="226"/>
      <c r="N44" s="227"/>
      <c r="O44" s="489"/>
      <c r="P44" s="713"/>
      <c r="R44" s="682"/>
      <c r="S44" s="489"/>
    </row>
    <row r="45" spans="2:19" x14ac:dyDescent="0.25">
      <c r="B45" s="488" t="s">
        <v>262</v>
      </c>
      <c r="C45" s="27"/>
      <c r="D45" s="65"/>
      <c r="E45" s="228"/>
      <c r="F45" s="65"/>
      <c r="G45" s="228"/>
      <c r="H45" s="506"/>
      <c r="I45" s="227" t="str">
        <f>IFERROR(H45/H$12,"")</f>
        <v/>
      </c>
      <c r="J45" s="226"/>
      <c r="K45" s="506"/>
      <c r="L45" s="227" t="str">
        <f>IFERROR(K45/K$12,"")</f>
        <v/>
      </c>
      <c r="M45" s="226"/>
      <c r="N45" s="506"/>
      <c r="O45" s="489" t="str">
        <f>IFERROR(N45/N$12,"")</f>
        <v/>
      </c>
      <c r="P45" s="713"/>
      <c r="R45" s="676"/>
      <c r="S45" s="489" t="str">
        <f>IFERROR(R45/R$12,"")</f>
        <v/>
      </c>
    </row>
    <row r="46" spans="2:19" x14ac:dyDescent="0.25">
      <c r="B46" s="488"/>
      <c r="C46" s="27"/>
      <c r="D46" s="65"/>
      <c r="E46" s="228"/>
      <c r="F46" s="65"/>
      <c r="G46" s="228"/>
      <c r="H46" s="231"/>
      <c r="I46" s="227"/>
      <c r="J46" s="226"/>
      <c r="K46" s="231"/>
      <c r="L46" s="227"/>
      <c r="M46" s="226"/>
      <c r="O46" s="489"/>
      <c r="P46" s="713"/>
      <c r="R46" s="495"/>
      <c r="S46" s="489"/>
    </row>
    <row r="47" spans="2:19" ht="12.75" customHeight="1" x14ac:dyDescent="0.25">
      <c r="B47" s="488" t="s">
        <v>263</v>
      </c>
      <c r="C47" s="223"/>
      <c r="D47" s="65"/>
      <c r="E47" s="224"/>
      <c r="F47" s="225"/>
      <c r="G47" s="224"/>
      <c r="H47" s="506"/>
      <c r="I47" s="227" t="str">
        <f>IFERROR(H47/H$12,"")</f>
        <v/>
      </c>
      <c r="J47" s="226"/>
      <c r="K47" s="506"/>
      <c r="L47" s="227" t="str">
        <f>IFERROR(K47/K$12,"")</f>
        <v/>
      </c>
      <c r="M47" s="226"/>
      <c r="N47" s="797"/>
      <c r="O47" s="489" t="str">
        <f>IFERROR(N47/N$12,"")</f>
        <v/>
      </c>
      <c r="P47" s="713"/>
      <c r="R47" s="676"/>
      <c r="S47" s="489" t="str">
        <f>IFERROR(R47/R$12,"")</f>
        <v/>
      </c>
    </row>
    <row r="48" spans="2:19" x14ac:dyDescent="0.25">
      <c r="B48" s="488" t="s">
        <v>264</v>
      </c>
      <c r="C48" s="223"/>
      <c r="D48" s="65"/>
      <c r="E48" s="224"/>
      <c r="F48" s="225"/>
      <c r="G48" s="224"/>
      <c r="H48" s="506"/>
      <c r="I48" s="227" t="str">
        <f>IFERROR(H48/H$12,"")</f>
        <v/>
      </c>
      <c r="J48" s="226"/>
      <c r="K48" s="506"/>
      <c r="L48" s="227" t="str">
        <f>IFERROR(K48/K$12,"")</f>
        <v/>
      </c>
      <c r="M48" s="226"/>
      <c r="N48" s="797"/>
      <c r="O48" s="489" t="str">
        <f>IFERROR(N48/N$12,"")</f>
        <v/>
      </c>
      <c r="P48" s="713"/>
      <c r="R48" s="676"/>
      <c r="S48" s="489" t="str">
        <f>IFERROR(R48/R$12,"")</f>
        <v/>
      </c>
    </row>
    <row r="49" spans="2:24" ht="12.75" customHeight="1" x14ac:dyDescent="0.25">
      <c r="B49" s="488" t="s">
        <v>265</v>
      </c>
      <c r="C49" s="223"/>
      <c r="D49" s="65"/>
      <c r="E49" s="224"/>
      <c r="F49" s="225"/>
      <c r="G49" s="224"/>
      <c r="H49" s="506"/>
      <c r="I49" s="227" t="str">
        <f>IFERROR(H49/H$12,"")</f>
        <v/>
      </c>
      <c r="J49" s="226"/>
      <c r="K49" s="506"/>
      <c r="L49" s="227" t="str">
        <f>IFERROR(K49/K$12,"")</f>
        <v/>
      </c>
      <c r="M49" s="226"/>
      <c r="N49" s="797"/>
      <c r="O49" s="489" t="str">
        <f>IFERROR(N49/N$12,"")</f>
        <v/>
      </c>
      <c r="P49" s="713"/>
      <c r="R49" s="676"/>
      <c r="S49" s="489" t="str">
        <f>IFERROR(R49/R$12,"")</f>
        <v/>
      </c>
    </row>
    <row r="50" spans="2:24" ht="12.75" customHeight="1" x14ac:dyDescent="0.25">
      <c r="B50" s="488" t="s">
        <v>266</v>
      </c>
      <c r="C50" s="223"/>
      <c r="D50" s="65"/>
      <c r="E50" s="224"/>
      <c r="F50" s="225"/>
      <c r="G50" s="224"/>
      <c r="H50" s="222"/>
      <c r="I50" s="227" t="str">
        <f>IFERROR(H50/H$12,"")</f>
        <v/>
      </c>
      <c r="J50" s="226"/>
      <c r="K50" s="222"/>
      <c r="L50" s="227" t="str">
        <f>IFERROR(K50/K$12,"")</f>
        <v/>
      </c>
      <c r="M50" s="226"/>
      <c r="N50" s="798"/>
      <c r="O50" s="489" t="str">
        <f>IFERROR(N50/N$12,"")</f>
        <v/>
      </c>
      <c r="P50" s="713"/>
      <c r="R50" s="677"/>
      <c r="S50" s="489" t="str">
        <f>IFERROR(R50/R$12,"")</f>
        <v/>
      </c>
    </row>
    <row r="51" spans="2:24" ht="12.75" customHeight="1" x14ac:dyDescent="0.25">
      <c r="B51" s="488"/>
      <c r="C51" s="223"/>
      <c r="D51" s="65"/>
      <c r="E51" s="224"/>
      <c r="F51" s="225"/>
      <c r="G51" s="224"/>
      <c r="H51" s="231"/>
      <c r="I51" s="227"/>
      <c r="J51" s="223"/>
      <c r="K51" s="231"/>
      <c r="M51" s="223"/>
      <c r="O51" s="492"/>
      <c r="P51" s="408"/>
      <c r="R51" s="495"/>
      <c r="S51" s="492"/>
    </row>
    <row r="52" spans="2:24" ht="12.75" customHeight="1" x14ac:dyDescent="0.25">
      <c r="B52" s="488" t="s">
        <v>267</v>
      </c>
      <c r="C52" s="223"/>
      <c r="D52" s="65"/>
      <c r="E52" s="224"/>
      <c r="F52" s="225"/>
      <c r="G52" s="224"/>
      <c r="H52" s="506">
        <f>H90+H104+H115</f>
        <v>0.0</v>
      </c>
      <c r="I52" s="227" t="str">
        <f>IFERROR(H52/H$12,"")</f>
        <v/>
      </c>
      <c r="J52" s="226"/>
      <c r="K52" s="506">
        <f>K90+K104+K115</f>
        <v>0.0</v>
      </c>
      <c r="L52" s="227" t="str">
        <f>IFERROR(K52/K$12,"")</f>
        <v/>
      </c>
      <c r="M52" s="226"/>
      <c r="N52" s="797">
        <f>N90+N104+N115</f>
        <v>0.0</v>
      </c>
      <c r="O52" s="489" t="str">
        <f>IFERROR(N52/N$12,"")</f>
        <v/>
      </c>
      <c r="P52" s="713"/>
      <c r="R52" s="676">
        <f>R90+R104+R115</f>
        <v>0.0</v>
      </c>
      <c r="S52" s="489" t="str">
        <f>IFERROR(R52/R$12,"")</f>
        <v/>
      </c>
    </row>
    <row r="53" spans="2:24" ht="12.75" customHeight="1" thickBot="1" x14ac:dyDescent="0.3">
      <c r="B53" s="488"/>
      <c r="C53" s="223"/>
      <c r="D53" s="65"/>
      <c r="E53" s="224"/>
      <c r="F53" s="225"/>
      <c r="G53" s="224"/>
      <c r="H53" s="242"/>
      <c r="I53" s="227"/>
      <c r="J53" s="226"/>
      <c r="K53" s="242"/>
      <c r="L53" s="227"/>
      <c r="M53" s="226"/>
      <c r="N53" s="66"/>
      <c r="O53" s="489"/>
      <c r="P53" s="713"/>
      <c r="R53" s="810"/>
      <c r="S53" s="811"/>
      <c r="V53" s="781" t="s">
        <v>268</v>
      </c>
      <c r="W53" s="781" t="s">
        <v>268</v>
      </c>
      <c r="X53" s="781" t="s">
        <v>268</v>
      </c>
    </row>
    <row r="54" spans="2:24" x14ac:dyDescent="0.25">
      <c r="B54" s="486" t="s">
        <v>269</v>
      </c>
      <c r="C54" s="469"/>
      <c r="D54" s="803"/>
      <c r="E54" s="458"/>
      <c r="F54" s="459"/>
      <c r="G54" s="470"/>
      <c r="H54" s="462">
        <f>H30+H32+H41+H43+H45+H47+H49+H52</f>
        <v>0.0</v>
      </c>
      <c r="I54" s="804" t="str">
        <f>IFERROR(H54/H$12,"")</f>
        <v/>
      </c>
      <c r="J54" s="468"/>
      <c r="K54" s="462">
        <f>K30+K32+K41+K43+K45+K47+K49+K52</f>
        <v>0.0</v>
      </c>
      <c r="L54" s="804" t="str">
        <f>IFERROR(K54/K$12,"")</f>
        <v/>
      </c>
      <c r="M54" s="468"/>
      <c r="N54" s="801">
        <f>N30+N32+N41+N43+N45+N47+N49+N52</f>
        <v>0.0</v>
      </c>
      <c r="O54" s="493" t="str">
        <f>IFERROR(N54/N$12,"")</f>
        <v/>
      </c>
      <c r="P54" s="715"/>
      <c r="R54" s="680">
        <f>R30+R32+R41+R43+R45+R47+R49+R52</f>
        <v>0.0</v>
      </c>
      <c r="S54" s="493" t="str">
        <f>IFERROR(R54/R$12,"")</f>
        <v/>
      </c>
      <c r="V54" s="668">
        <f>H54-H52-H49-H47</f>
        <v>0.0</v>
      </c>
      <c r="W54" s="668">
        <f>K54-K52-K49-K47</f>
        <v>0.0</v>
      </c>
      <c r="X54" s="668">
        <f>N54-N52-N49-N47</f>
        <v>0.0</v>
      </c>
    </row>
    <row r="55" spans="2:24" x14ac:dyDescent="0.25">
      <c r="B55" s="671" t="s">
        <v>270</v>
      </c>
      <c r="C55" s="234"/>
      <c r="D55" s="241"/>
      <c r="E55" s="223"/>
      <c r="F55" s="235"/>
      <c r="G55" s="236"/>
      <c r="H55" s="243"/>
      <c r="I55" s="805"/>
      <c r="J55" s="397"/>
      <c r="K55" s="243">
        <f>ROUND(H54*H74+K54*K74+N54*N74+R54*R74,-3)</f>
        <v>0.0</v>
      </c>
      <c r="L55" s="805"/>
      <c r="M55" s="397"/>
      <c r="N55" s="802"/>
      <c r="O55" s="494"/>
      <c r="P55" s="716"/>
      <c r="R55" s="681"/>
      <c r="S55" s="494"/>
      <c r="V55" s="668"/>
      <c r="W55" s="668"/>
      <c r="X55" s="27"/>
    </row>
    <row r="56" spans="2:24" x14ac:dyDescent="0.25">
      <c r="B56" s="488"/>
      <c r="C56" s="234"/>
      <c r="D56" s="241"/>
      <c r="E56" s="223"/>
      <c r="F56" s="235"/>
      <c r="G56" s="236"/>
      <c r="H56" s="243"/>
      <c r="I56" s="805"/>
      <c r="J56" s="397"/>
      <c r="K56" s="243"/>
      <c r="L56" s="805"/>
      <c r="M56" s="397"/>
      <c r="N56" s="802"/>
      <c r="O56" s="494"/>
      <c r="P56" s="716"/>
      <c r="R56" s="681"/>
      <c r="S56" s="494"/>
      <c r="V56" s="668"/>
      <c r="W56"/>
      <c r="X56"/>
    </row>
    <row r="57" spans="2:24" x14ac:dyDescent="0.25">
      <c r="B57" s="488" t="s">
        <v>271</v>
      </c>
      <c r="C57" s="223"/>
      <c r="D57" s="65"/>
      <c r="E57" s="224"/>
      <c r="F57" s="225"/>
      <c r="G57" s="224"/>
      <c r="H57" s="506">
        <f>-MVA!N112</f>
        <v>-0.0</v>
      </c>
      <c r="I57" s="227" t="str">
        <f>IFERROR(H57/H$12,"")</f>
        <v/>
      </c>
      <c r="J57" s="226"/>
      <c r="K57" s="506">
        <f>-MVA!N112</f>
        <v>-0.0</v>
      </c>
      <c r="L57" s="227" t="str">
        <f>IFERROR(K57/K$12,"")</f>
        <v/>
      </c>
      <c r="M57" s="226"/>
      <c r="N57" s="797">
        <f>-MVA!N112</f>
        <v>-0.0</v>
      </c>
      <c r="O57" s="489" t="str">
        <f>IFERROR(N57/N$12,"")</f>
        <v/>
      </c>
      <c r="P57" s="713"/>
      <c r="R57" s="676">
        <f>-MVA!N112</f>
        <v>-0.0</v>
      </c>
      <c r="S57" s="489" t="str">
        <f>IFERROR(R57/R$12,"")</f>
        <v/>
      </c>
      <c r="V57" s="780">
        <f>V54-V55-V56</f>
        <v>0.0</v>
      </c>
      <c r="W57" s="780">
        <f>W54-W55-W56</f>
        <v>0.0</v>
      </c>
      <c r="X57" s="780">
        <f>X54-X55-X56</f>
        <v>0.0</v>
      </c>
    </row>
    <row r="58" spans="2:24" ht="12.75" customHeight="1" x14ac:dyDescent="0.25">
      <c r="B58" s="495"/>
      <c r="C58" s="223"/>
      <c r="D58" s="65"/>
      <c r="E58" s="223"/>
      <c r="F58" s="225"/>
      <c r="G58" s="232"/>
      <c r="H58" s="242"/>
      <c r="I58" s="799"/>
      <c r="J58" s="233"/>
      <c r="K58" s="242"/>
      <c r="L58" s="799"/>
      <c r="M58" s="233"/>
      <c r="N58" s="66"/>
      <c r="O58" s="485"/>
      <c r="P58" s="711"/>
      <c r="R58" s="678"/>
      <c r="S58" s="485"/>
      <c r="V58" s="781" t="str">
        <f>IF(ABS(V57)&lt;0.01,"OK","FOUT")</f>
        <v>OK</v>
      </c>
      <c r="W58" s="781" t="str">
        <f>IF(ABS(W57)&lt;0.01,"OK","FOUT")</f>
        <v>OK</v>
      </c>
      <c r="X58" s="781" t="str">
        <f>IF(ABS(X57)&lt;0.01,"OK","FOUT")</f>
        <v>OK</v>
      </c>
    </row>
    <row r="59" spans="2:24" ht="12.75" customHeight="1" x14ac:dyDescent="0.25">
      <c r="B59" s="486" t="s">
        <v>272</v>
      </c>
      <c r="C59" s="458"/>
      <c r="D59" s="806"/>
      <c r="E59" s="458"/>
      <c r="F59" s="467"/>
      <c r="G59" s="465"/>
      <c r="H59" s="462">
        <f>H54+H57</f>
        <v>0.0</v>
      </c>
      <c r="I59" s="804" t="str">
        <f>IFERROR(H59/H$12,"")</f>
        <v/>
      </c>
      <c r="J59" s="468"/>
      <c r="K59" s="462">
        <f>K54+K57</f>
        <v>0.0</v>
      </c>
      <c r="L59" s="804" t="str">
        <f>IFERROR(K59/K$12,"")</f>
        <v/>
      </c>
      <c r="M59" s="468"/>
      <c r="N59" s="801">
        <f>N54+N57</f>
        <v>0.0</v>
      </c>
      <c r="O59" s="493" t="str">
        <f>IFERROR(N59/N$12,"")</f>
        <v/>
      </c>
      <c r="P59" s="715"/>
      <c r="R59" s="680">
        <f>R54+R57</f>
        <v>0.0</v>
      </c>
      <c r="S59" s="493" t="str">
        <f>IFERROR(R59/R$12,"")</f>
        <v/>
      </c>
    </row>
    <row r="60" spans="2:24" ht="12.75" customHeight="1" x14ac:dyDescent="0.25">
      <c r="B60" s="495"/>
      <c r="C60" s="223"/>
      <c r="D60" s="65"/>
      <c r="E60" s="223"/>
      <c r="F60" s="225"/>
      <c r="G60" s="232"/>
      <c r="H60" s="243"/>
      <c r="I60" s="799"/>
      <c r="J60" s="233"/>
      <c r="K60" s="243"/>
      <c r="L60" s="799"/>
      <c r="M60" s="233"/>
      <c r="N60" s="802"/>
      <c r="O60" s="485"/>
      <c r="P60" s="711"/>
      <c r="R60" s="681"/>
      <c r="S60" s="485"/>
    </row>
    <row r="61" spans="2:24" ht="12.75" customHeight="1" x14ac:dyDescent="0.25">
      <c r="B61" s="495"/>
      <c r="C61" s="223"/>
      <c r="D61" s="65"/>
      <c r="E61" s="223"/>
      <c r="F61" s="225"/>
      <c r="G61" s="232"/>
      <c r="H61" s="243"/>
      <c r="I61" s="799"/>
      <c r="J61" s="233"/>
      <c r="K61" s="243"/>
      <c r="L61" s="799"/>
      <c r="M61" s="233"/>
      <c r="N61" s="802"/>
      <c r="O61" s="485"/>
      <c r="P61" s="711"/>
      <c r="R61" s="681"/>
      <c r="S61" s="485"/>
    </row>
    <row r="62" spans="2:24" ht="12.75" customHeight="1" x14ac:dyDescent="0.25">
      <c r="B62" s="488" t="s">
        <v>273</v>
      </c>
      <c r="C62" s="223"/>
      <c r="D62" s="65"/>
      <c r="E62" s="224"/>
      <c r="F62" s="225"/>
      <c r="G62" s="224"/>
      <c r="H62" s="506"/>
      <c r="I62" s="227" t="str">
        <f>IFERROR(H62/H$12,"")</f>
        <v/>
      </c>
      <c r="J62" s="226"/>
      <c r="K62" s="506"/>
      <c r="L62" s="227" t="str">
        <f>IFERROR(K62/K$12,"")</f>
        <v/>
      </c>
      <c r="M62" s="226"/>
      <c r="N62" s="797"/>
      <c r="O62" s="489" t="str">
        <f>IFERROR(N62/N$12,"")</f>
        <v/>
      </c>
      <c r="P62" s="713"/>
      <c r="R62" s="676"/>
      <c r="S62" s="489" t="str">
        <f>IFERROR(R62/R$12,"")</f>
        <v/>
      </c>
    </row>
    <row r="63" spans="2:24" ht="12.75" customHeight="1" x14ac:dyDescent="0.25">
      <c r="B63" s="488" t="s">
        <v>274</v>
      </c>
      <c r="C63" s="223"/>
      <c r="D63" s="65"/>
      <c r="E63" s="224"/>
      <c r="F63" s="225"/>
      <c r="G63" s="224"/>
      <c r="H63" s="506"/>
      <c r="I63" s="227" t="str">
        <f>IFERROR(H63/H$12,"")</f>
        <v/>
      </c>
      <c r="J63" s="226"/>
      <c r="K63" s="506"/>
      <c r="L63" s="227" t="str">
        <f>IFERROR(K63/K$12,"")</f>
        <v/>
      </c>
      <c r="M63" s="226"/>
      <c r="N63" s="797"/>
      <c r="O63" s="489" t="str">
        <f>IFERROR(N63/N$12,"")</f>
        <v/>
      </c>
      <c r="P63" s="713"/>
      <c r="R63" s="676"/>
      <c r="S63" s="489" t="str">
        <f>IFERROR(R63/R$12,"")</f>
        <v/>
      </c>
    </row>
    <row r="64" spans="2:24" ht="12.75" customHeight="1" x14ac:dyDescent="0.25">
      <c r="B64" s="488"/>
      <c r="C64" s="223"/>
      <c r="D64" s="65"/>
      <c r="E64" s="224"/>
      <c r="F64" s="225"/>
      <c r="G64" s="224"/>
      <c r="H64" s="231"/>
      <c r="J64" s="223"/>
      <c r="K64" s="231"/>
      <c r="M64" s="223"/>
      <c r="O64" s="492"/>
      <c r="P64" s="408"/>
      <c r="R64" s="495"/>
      <c r="S64" s="492"/>
    </row>
    <row r="65" spans="1:19" ht="12.75" customHeight="1" x14ac:dyDescent="0.25">
      <c r="B65" s="488" t="s">
        <v>275</v>
      </c>
      <c r="C65" s="223"/>
      <c r="D65" s="65"/>
      <c r="E65" s="224"/>
      <c r="F65" s="225"/>
      <c r="G65" s="224"/>
      <c r="H65" s="506">
        <f>-Goodwill!$E$118*4%</f>
        <v>-0.0</v>
      </c>
      <c r="I65" s="227" t="str">
        <f>IFERROR(H65/H$12,"")</f>
        <v/>
      </c>
      <c r="J65" s="226"/>
      <c r="K65" s="506">
        <f>-Goodwill!$E$118*4%</f>
        <v>-0.0</v>
      </c>
      <c r="L65" s="227" t="str">
        <f>IFERROR(K65/K$12,"")</f>
        <v/>
      </c>
      <c r="M65" s="226"/>
      <c r="N65" s="797">
        <f>-Goodwill!$E$118*4%</f>
        <v>-0.0</v>
      </c>
      <c r="O65" s="489" t="str">
        <f>IFERROR(N65/N$12,"")</f>
        <v/>
      </c>
      <c r="P65" s="713"/>
      <c r="R65" s="676">
        <f>-Goodwill!$E$118*4%</f>
        <v>-0.0</v>
      </c>
      <c r="S65" s="489" t="str">
        <f>IFERROR(R65/R$12,"")</f>
        <v/>
      </c>
    </row>
    <row r="66" spans="1:19" x14ac:dyDescent="0.25">
      <c r="B66" s="488"/>
      <c r="C66" s="223"/>
      <c r="D66" s="65"/>
      <c r="E66" s="223"/>
      <c r="F66" s="225"/>
      <c r="G66" s="232"/>
      <c r="H66" s="242"/>
      <c r="I66" s="799"/>
      <c r="J66" s="233"/>
      <c r="K66" s="242"/>
      <c r="L66" s="799"/>
      <c r="M66" s="233"/>
      <c r="N66" s="66"/>
      <c r="O66" s="485"/>
      <c r="P66" s="711"/>
      <c r="R66" s="678"/>
      <c r="S66" s="485"/>
    </row>
    <row r="67" spans="1:19" x14ac:dyDescent="0.25">
      <c r="B67" s="486" t="s">
        <v>276</v>
      </c>
      <c r="C67" s="458"/>
      <c r="D67" s="459"/>
      <c r="E67" s="460"/>
      <c r="F67" s="459"/>
      <c r="G67" s="461"/>
      <c r="H67" s="462">
        <f>SUM(H59:H66)</f>
        <v>0.0</v>
      </c>
      <c r="I67" s="463" t="str">
        <f>IFERROR(H67/H$12,"")</f>
        <v/>
      </c>
      <c r="J67" s="464"/>
      <c r="K67" s="462">
        <f>SUM(K59:K66)</f>
        <v>0.0</v>
      </c>
      <c r="L67" s="463" t="str">
        <f>IFERROR(K67/K$12,"")</f>
        <v/>
      </c>
      <c r="M67" s="464"/>
      <c r="N67" s="801">
        <f>SUM(N59:N66)</f>
        <v>0.0</v>
      </c>
      <c r="O67" s="496" t="str">
        <f>IFERROR(N67/N$12,"")</f>
        <v/>
      </c>
      <c r="P67" s="717"/>
      <c r="R67" s="680">
        <f>SUM(R59:R66)</f>
        <v>0.0</v>
      </c>
      <c r="S67" s="496" t="str">
        <f>IFERROR(R67/R$12,"")</f>
        <v/>
      </c>
    </row>
    <row r="68" spans="1:19" x14ac:dyDescent="0.25">
      <c r="B68" s="672" t="s">
        <v>277</v>
      </c>
      <c r="C68" s="223"/>
      <c r="D68" s="65"/>
      <c r="E68" s="223"/>
      <c r="F68" s="65"/>
      <c r="G68" s="232"/>
      <c r="H68" s="243"/>
      <c r="I68" s="799"/>
      <c r="J68" s="233"/>
      <c r="K68" s="243">
        <f>ROUND(H67*H74+K67*K74+N67*N74+R67*R74,-3)</f>
        <v>0.0</v>
      </c>
      <c r="L68" s="799"/>
      <c r="M68" s="233"/>
      <c r="N68" s="66"/>
      <c r="O68" s="485"/>
      <c r="P68" s="711"/>
      <c r="R68" s="678"/>
      <c r="S68" s="485"/>
    </row>
    <row r="69" spans="1:19" x14ac:dyDescent="0.25">
      <c r="B69" s="495"/>
      <c r="C69" s="223"/>
      <c r="D69" s="65"/>
      <c r="E69" s="223"/>
      <c r="F69" s="225"/>
      <c r="G69" s="232"/>
      <c r="H69" s="242"/>
      <c r="I69" s="799"/>
      <c r="J69" s="233"/>
      <c r="K69" s="242"/>
      <c r="L69" s="799"/>
      <c r="M69" s="233"/>
      <c r="N69" s="66"/>
      <c r="O69" s="485"/>
      <c r="P69" s="711"/>
      <c r="R69" s="678"/>
      <c r="S69" s="485"/>
    </row>
    <row r="70" spans="1:19" x14ac:dyDescent="0.25">
      <c r="B70" s="488" t="s">
        <v>278</v>
      </c>
      <c r="C70" s="223"/>
      <c r="D70" s="237"/>
      <c r="E70" s="223"/>
      <c r="F70" s="238"/>
      <c r="G70" s="232"/>
      <c r="H70" s="506">
        <f>IF(H67&gt;0,-H67*0.25,0)</f>
        <v>0.0</v>
      </c>
      <c r="I70" s="799" t="str">
        <f>IFERROR(H70/H$12,"")</f>
        <v/>
      </c>
      <c r="J70" s="233"/>
      <c r="K70" s="506">
        <f>IF(K67&gt;0,-K67*0.25,0)</f>
        <v>0.0</v>
      </c>
      <c r="L70" s="799" t="str">
        <f>IFERROR(K70/K$12,"")</f>
        <v/>
      </c>
      <c r="M70" s="233"/>
      <c r="N70" s="797">
        <f>IF(N67&gt;0,-N67*0.25,0)</f>
        <v>0.0</v>
      </c>
      <c r="O70" s="485" t="str">
        <f>IFERROR(N70/N$12,"")</f>
        <v/>
      </c>
      <c r="P70" s="711"/>
      <c r="R70" s="676">
        <f>IF(R67&gt;0,-R67*0.25,0)</f>
        <v>0.0</v>
      </c>
      <c r="S70" s="485" t="str">
        <f>IFERROR(R70/R$12,"")</f>
        <v/>
      </c>
    </row>
    <row r="71" spans="1:19" x14ac:dyDescent="0.25">
      <c r="B71" s="488"/>
      <c r="C71" s="223"/>
      <c r="D71" s="65"/>
      <c r="E71" s="223"/>
      <c r="F71" s="225"/>
      <c r="G71" s="232"/>
      <c r="H71" s="242"/>
      <c r="I71" s="799"/>
      <c r="J71" s="233"/>
      <c r="K71" s="242"/>
      <c r="L71" s="799"/>
      <c r="M71" s="233"/>
      <c r="N71" s="66"/>
      <c r="O71" s="485"/>
      <c r="P71" s="711"/>
      <c r="R71" s="678"/>
      <c r="S71" s="485"/>
    </row>
    <row r="72" spans="1:19" x14ac:dyDescent="0.25">
      <c r="B72" s="486" t="s">
        <v>279</v>
      </c>
      <c r="C72" s="458"/>
      <c r="D72" s="803"/>
      <c r="E72" s="458"/>
      <c r="F72" s="459"/>
      <c r="G72" s="465"/>
      <c r="H72" s="462">
        <f>H67+H70</f>
        <v>0.0</v>
      </c>
      <c r="I72" s="807" t="str">
        <f>IFERROR(H72/H$12,"")</f>
        <v/>
      </c>
      <c r="J72" s="466"/>
      <c r="K72" s="462">
        <f>K67+K70</f>
        <v>0.0</v>
      </c>
      <c r="L72" s="804" t="str">
        <f>IFERROR(K72/K$12,"")</f>
        <v/>
      </c>
      <c r="M72" s="466"/>
      <c r="N72" s="801">
        <f>N67+N70</f>
        <v>0.0</v>
      </c>
      <c r="O72" s="493" t="str">
        <f>IFERROR(N72/N$12,"")</f>
        <v/>
      </c>
      <c r="P72" s="715"/>
      <c r="R72" s="680">
        <f>R67+R70</f>
        <v>0.0</v>
      </c>
      <c r="S72" s="493" t="str">
        <f>IFERROR(R72/R$12,"")</f>
        <v/>
      </c>
    </row>
    <row r="73" spans="1:19" x14ac:dyDescent="0.25">
      <c r="B73" s="495"/>
      <c r="C73" s="223"/>
      <c r="D73" s="239"/>
      <c r="E73" s="223"/>
      <c r="F73" s="240"/>
      <c r="G73" s="224"/>
      <c r="H73" s="244"/>
      <c r="I73" s="227"/>
      <c r="J73" s="226"/>
      <c r="K73" s="244"/>
      <c r="L73" s="227"/>
      <c r="M73" s="226"/>
      <c r="N73" s="239"/>
      <c r="O73" s="489"/>
      <c r="P73" s="713"/>
      <c r="R73" s="683"/>
      <c r="S73" s="489"/>
    </row>
    <row r="74" spans="1:19" ht="12.75" customHeight="1" x14ac:dyDescent="0.25">
      <c r="B74" s="495" t="s">
        <v>280</v>
      </c>
      <c r="C74" s="223"/>
      <c r="D74" s="239"/>
      <c r="E74" s="223"/>
      <c r="F74" s="240"/>
      <c r="G74" s="224"/>
      <c r="H74" s="244">
        <v>0</v>
      </c>
      <c r="I74" s="227"/>
      <c r="J74" s="226"/>
      <c r="K74" s="244">
        <v>0</v>
      </c>
      <c r="L74" s="227"/>
      <c r="M74" s="226"/>
      <c r="N74" s="239">
        <v>0</v>
      </c>
      <c r="O74" s="489"/>
      <c r="P74" s="713"/>
      <c r="R74" s="683">
        <v>0</v>
      </c>
      <c r="S74" s="489"/>
    </row>
    <row r="75" spans="1:19" ht="6" customHeight="1" x14ac:dyDescent="0.25">
      <c r="B75" s="495"/>
      <c r="C75" s="223"/>
      <c r="D75" s="239"/>
      <c r="E75" s="223"/>
      <c r="F75" s="240"/>
      <c r="G75" s="224"/>
      <c r="H75" s="244"/>
      <c r="I75" s="228"/>
      <c r="J75" s="224"/>
      <c r="K75" s="244"/>
      <c r="L75" s="228"/>
      <c r="M75" s="224"/>
      <c r="N75" s="239"/>
      <c r="O75" s="497"/>
      <c r="P75" s="718"/>
      <c r="R75" s="683"/>
      <c r="S75" s="497"/>
    </row>
    <row r="76" spans="1:19" x14ac:dyDescent="0.25">
      <c r="B76" s="673" t="s">
        <v>281</v>
      </c>
      <c r="C76" s="223"/>
      <c r="D76" s="225"/>
      <c r="E76" s="232"/>
      <c r="H76" s="241" t="s">
        <v>282</v>
      </c>
      <c r="J76" s="223"/>
      <c r="K76" s="243">
        <f>ROUND(H72*H74+K72*K74+N72*N74+R72*R74,-3)</f>
        <v>0.0</v>
      </c>
      <c r="M76" s="223"/>
      <c r="N76" s="65"/>
      <c r="O76" s="492"/>
      <c r="P76" s="408"/>
      <c r="R76" s="684"/>
      <c r="S76" s="492"/>
    </row>
    <row r="77" spans="1:19" ht="14.4" customHeight="1" thickBot="1" x14ac:dyDescent="0.3">
      <c r="B77" s="498"/>
      <c r="C77" s="499"/>
      <c r="D77" s="500"/>
      <c r="E77" s="499"/>
      <c r="F77" s="500"/>
      <c r="G77" s="499"/>
      <c r="H77" s="501"/>
      <c r="I77" s="502"/>
      <c r="J77" s="499"/>
      <c r="K77" s="501"/>
      <c r="L77" s="502"/>
      <c r="M77" s="499"/>
      <c r="N77" s="503"/>
      <c r="O77" s="504"/>
      <c r="Q77" s="789"/>
      <c r="R77" s="685"/>
      <c r="S77" s="504"/>
    </row>
    <row r="78" spans="1:19" ht="12.75" customHeight="1" x14ac:dyDescent="0.25">
      <c r="A78" s="408"/>
      <c r="B78" s="426"/>
      <c r="C78" s="427"/>
      <c r="D78" s="427"/>
      <c r="E78" s="427"/>
      <c r="F78" s="427"/>
      <c r="G78" s="427"/>
      <c r="H78" s="428"/>
      <c r="I78" s="427"/>
      <c r="J78" s="427"/>
      <c r="K78" s="428"/>
      <c r="L78" s="427"/>
      <c r="M78" s="427"/>
      <c r="N78" s="429"/>
      <c r="O78" s="427"/>
      <c r="P78" s="427"/>
      <c r="Q78" s="408"/>
    </row>
    <row r="79" spans="1:19" ht="12.75" customHeight="1" x14ac:dyDescent="0.25">
      <c r="A79" s="408"/>
      <c r="B79" s="762" t="s">
        <v>283</v>
      </c>
      <c r="C79" s="427"/>
      <c r="D79" s="427"/>
      <c r="E79" s="427"/>
      <c r="F79" s="427"/>
      <c r="G79" s="427"/>
      <c r="H79" s="428"/>
      <c r="I79" s="427"/>
      <c r="J79" s="427"/>
      <c r="K79" s="428"/>
      <c r="L79" s="427"/>
      <c r="M79" s="427"/>
      <c r="N79" s="429"/>
      <c r="O79" s="427"/>
      <c r="P79" s="427"/>
      <c r="Q79" s="408"/>
      <c r="R79" s="408"/>
    </row>
    <row r="80" spans="1:19" ht="12.75" customHeight="1" x14ac:dyDescent="0.25">
      <c r="A80" s="408"/>
      <c r="B80" s="413"/>
      <c r="C80" s="427"/>
      <c r="D80" s="427"/>
      <c r="E80" s="427"/>
      <c r="F80" s="427"/>
      <c r="G80" s="427"/>
      <c r="H80" s="428"/>
      <c r="I80" s="427"/>
      <c r="J80" s="427"/>
      <c r="K80" s="428"/>
      <c r="L80" s="427"/>
      <c r="M80" s="427"/>
      <c r="N80" s="429"/>
      <c r="O80" s="427"/>
      <c r="P80" s="427"/>
      <c r="Q80" s="408"/>
      <c r="R80" s="408"/>
    </row>
    <row r="81" spans="1:18" ht="12.75" customHeight="1" x14ac:dyDescent="0.25">
      <c r="A81" s="408"/>
      <c r="B81" s="753" t="s">
        <v>284</v>
      </c>
      <c r="C81" s="427"/>
      <c r="D81" s="427"/>
      <c r="E81" s="427"/>
      <c r="F81" s="427"/>
      <c r="G81" s="427"/>
      <c r="H81" s="428"/>
      <c r="I81" s="427"/>
      <c r="J81" s="427"/>
      <c r="K81" s="428"/>
      <c r="L81" s="427"/>
      <c r="M81" s="427"/>
      <c r="N81" s="429"/>
      <c r="O81" s="427"/>
      <c r="P81" s="427"/>
      <c r="Q81" s="408"/>
      <c r="R81" s="408"/>
    </row>
    <row r="82" spans="1:18" ht="12.75" customHeight="1" x14ac:dyDescent="0.25">
      <c r="A82" s="408"/>
      <c r="B82" s="878" t="s">
        <v>285</v>
      </c>
      <c r="C82" s="878"/>
      <c r="D82" s="878"/>
      <c r="E82" s="878"/>
      <c r="F82" s="878"/>
      <c r="G82" s="878"/>
      <c r="H82" s="878"/>
      <c r="I82" s="878"/>
      <c r="J82" s="878"/>
      <c r="K82" s="878"/>
      <c r="L82" s="878"/>
      <c r="M82" s="878"/>
      <c r="N82" s="878"/>
      <c r="O82" s="878"/>
      <c r="P82" s="427"/>
      <c r="Q82" s="408"/>
      <c r="R82" s="408"/>
    </row>
    <row r="83" spans="1:18" ht="12.75" customHeight="1" x14ac:dyDescent="0.25">
      <c r="A83" s="408"/>
      <c r="B83" s="878"/>
      <c r="C83" s="878"/>
      <c r="D83" s="878"/>
      <c r="E83" s="878"/>
      <c r="F83" s="878"/>
      <c r="G83" s="878"/>
      <c r="H83" s="878"/>
      <c r="I83" s="878"/>
      <c r="J83" s="878"/>
      <c r="K83" s="878"/>
      <c r="L83" s="878"/>
      <c r="M83" s="878"/>
      <c r="N83" s="878"/>
      <c r="O83" s="878"/>
      <c r="P83" s="427"/>
      <c r="Q83" s="408"/>
      <c r="R83" s="408"/>
    </row>
    <row r="84" spans="1:18" ht="12.75" customHeight="1" x14ac:dyDescent="0.25">
      <c r="A84" s="408"/>
      <c r="B84" s="754"/>
      <c r="C84" s="754"/>
      <c r="D84" s="754"/>
      <c r="E84" s="754"/>
      <c r="F84" s="754"/>
      <c r="G84" s="754"/>
      <c r="H84" s="754"/>
      <c r="I84" s="754"/>
      <c r="J84" s="754"/>
      <c r="K84" s="754"/>
      <c r="L84" s="754"/>
      <c r="M84" s="754"/>
      <c r="N84" s="754"/>
      <c r="O84" s="754"/>
      <c r="P84" s="427"/>
      <c r="Q84" s="408"/>
      <c r="R84" s="408"/>
    </row>
    <row r="85" spans="1:18" ht="12.75" customHeight="1" x14ac:dyDescent="0.25">
      <c r="A85" s="408"/>
      <c r="B85" s="755" t="s">
        <v>286</v>
      </c>
      <c r="C85" s="754"/>
      <c r="D85" s="754"/>
      <c r="E85" s="754"/>
      <c r="F85" s="754"/>
      <c r="G85" s="754"/>
      <c r="H85" s="756"/>
      <c r="I85" s="754"/>
      <c r="J85" s="754"/>
      <c r="K85" s="756"/>
      <c r="L85" s="754"/>
      <c r="M85" s="754"/>
      <c r="N85" s="756"/>
      <c r="O85" s="754"/>
      <c r="P85" s="427"/>
      <c r="Q85" s="408"/>
      <c r="R85" s="756"/>
    </row>
    <row r="86" spans="1:18" ht="12.75" customHeight="1" x14ac:dyDescent="0.25">
      <c r="A86" s="408"/>
      <c r="B86" s="755" t="s">
        <v>287</v>
      </c>
      <c r="C86" s="754"/>
      <c r="D86" s="754"/>
      <c r="E86" s="754"/>
      <c r="F86" s="754"/>
      <c r="G86" s="754"/>
      <c r="H86" s="756"/>
      <c r="I86" s="754"/>
      <c r="J86" s="754"/>
      <c r="K86" s="756"/>
      <c r="L86" s="754"/>
      <c r="M86" s="754"/>
      <c r="N86" s="756"/>
      <c r="O86" s="754"/>
      <c r="P86" s="427"/>
      <c r="Q86" s="408"/>
      <c r="R86" s="756"/>
    </row>
    <row r="87" spans="1:18" ht="12.75" customHeight="1" x14ac:dyDescent="0.25">
      <c r="A87" s="408"/>
      <c r="B87" s="755" t="s">
        <v>288</v>
      </c>
      <c r="C87" s="754"/>
      <c r="D87" s="754"/>
      <c r="E87" s="754"/>
      <c r="F87" s="754"/>
      <c r="G87" s="754"/>
      <c r="H87" s="756"/>
      <c r="I87" s="754"/>
      <c r="J87" s="754"/>
      <c r="K87" s="756"/>
      <c r="L87" s="754"/>
      <c r="M87" s="754"/>
      <c r="N87" s="756"/>
      <c r="O87" s="754"/>
      <c r="P87" s="427"/>
      <c r="Q87" s="408"/>
      <c r="R87" s="756"/>
    </row>
    <row r="88" spans="1:18" ht="12.75" customHeight="1" x14ac:dyDescent="0.25">
      <c r="A88" s="408"/>
      <c r="B88" s="754"/>
      <c r="C88" s="754"/>
      <c r="D88" s="754"/>
      <c r="E88" s="754"/>
      <c r="F88" s="754"/>
      <c r="G88" s="754"/>
      <c r="H88" s="757">
        <f>SUM(H85:H87)</f>
        <v>0.0</v>
      </c>
      <c r="I88" s="754"/>
      <c r="J88" s="754"/>
      <c r="K88" s="757">
        <f>SUM(K85:K87)</f>
        <v>0.0</v>
      </c>
      <c r="L88" s="754"/>
      <c r="M88" s="754"/>
      <c r="N88" s="757">
        <f>SUM(N85:N87)</f>
        <v>0.0</v>
      </c>
      <c r="O88" s="754"/>
      <c r="P88" s="427"/>
      <c r="Q88" s="408"/>
      <c r="R88" s="757">
        <f>SUM(R85:R87)</f>
        <v>0.0</v>
      </c>
    </row>
    <row r="89" spans="1:18" ht="12.75" customHeight="1" x14ac:dyDescent="0.25">
      <c r="A89" s="408"/>
      <c r="B89" s="754"/>
      <c r="C89" s="754"/>
      <c r="D89" s="754"/>
      <c r="E89" s="754"/>
      <c r="F89" s="754"/>
      <c r="G89" s="754"/>
      <c r="H89" s="754"/>
      <c r="I89" s="754"/>
      <c r="J89" s="754"/>
      <c r="K89" s="754"/>
      <c r="L89" s="754"/>
      <c r="M89" s="754"/>
      <c r="N89" s="754"/>
      <c r="O89" s="754"/>
      <c r="P89" s="427"/>
      <c r="Q89" s="408"/>
      <c r="R89" s="408"/>
    </row>
    <row r="90" spans="1:18" ht="12.75" customHeight="1" x14ac:dyDescent="0.25">
      <c r="A90" s="408"/>
      <c r="B90" s="755" t="s">
        <v>289</v>
      </c>
      <c r="C90" s="754"/>
      <c r="D90" s="754"/>
      <c r="E90" s="754"/>
      <c r="F90" s="754"/>
      <c r="G90" s="754"/>
      <c r="H90" s="756">
        <f>IF(H92="",0,H92-H88)</f>
        <v>0.0</v>
      </c>
      <c r="I90" s="754"/>
      <c r="J90" s="754"/>
      <c r="K90" s="756">
        <f>IF(K92="",0,K92-K88)</f>
        <v>0.0</v>
      </c>
      <c r="L90" s="754"/>
      <c r="M90" s="754"/>
      <c r="N90" s="756">
        <f>IF(N92="",0,N92-N88)</f>
        <v>0.0</v>
      </c>
      <c r="O90" s="754"/>
      <c r="P90" s="427"/>
      <c r="Q90" s="408"/>
      <c r="R90" s="756">
        <f>IF(R92="",0,R92-R88)</f>
        <v>0.0</v>
      </c>
    </row>
    <row r="91" spans="1:18" ht="12.75" customHeight="1" x14ac:dyDescent="0.25">
      <c r="A91" s="408"/>
      <c r="B91" s="754"/>
      <c r="C91" s="754"/>
      <c r="D91" s="754"/>
      <c r="E91" s="754"/>
      <c r="F91" s="754"/>
      <c r="G91" s="754"/>
      <c r="H91" s="754"/>
      <c r="I91" s="754"/>
      <c r="J91" s="754"/>
      <c r="K91" s="754"/>
      <c r="L91" s="754"/>
      <c r="M91" s="754"/>
      <c r="N91" s="754"/>
      <c r="O91" s="754"/>
      <c r="P91" s="427"/>
      <c r="Q91" s="408"/>
      <c r="R91" s="408"/>
    </row>
    <row r="92" spans="1:18" ht="12.75" customHeight="1" x14ac:dyDescent="0.25">
      <c r="A92" s="408"/>
      <c r="B92" s="755" t="s">
        <v>290</v>
      </c>
      <c r="C92" s="754"/>
      <c r="D92" s="754"/>
      <c r="E92" s="754"/>
      <c r="F92" s="754"/>
      <c r="G92" s="754"/>
      <c r="H92" s="757"/>
      <c r="I92" s="754"/>
      <c r="J92" s="754"/>
      <c r="K92" s="757"/>
      <c r="L92" s="754"/>
      <c r="M92" s="754"/>
      <c r="N92" s="757"/>
      <c r="O92" s="754"/>
      <c r="P92" s="427"/>
      <c r="Q92" s="408"/>
      <c r="R92" s="757"/>
    </row>
    <row r="93" spans="1:18" ht="12.75" customHeight="1" x14ac:dyDescent="0.25">
      <c r="A93" s="408"/>
      <c r="B93" s="413"/>
      <c r="C93" s="427"/>
      <c r="D93" s="427"/>
      <c r="E93" s="427"/>
      <c r="F93" s="427"/>
      <c r="G93" s="427"/>
      <c r="H93" s="428"/>
      <c r="I93" s="427"/>
      <c r="J93" s="427"/>
      <c r="K93" s="428"/>
      <c r="L93" s="427"/>
      <c r="M93" s="427"/>
      <c r="N93" s="429"/>
      <c r="O93" s="427"/>
      <c r="P93" s="427"/>
      <c r="Q93" s="408"/>
      <c r="R93" s="408"/>
    </row>
    <row r="94" spans="1:18" ht="12.75" customHeight="1" x14ac:dyDescent="0.25">
      <c r="A94" s="408"/>
      <c r="B94" s="753" t="s">
        <v>291</v>
      </c>
      <c r="C94" s="427"/>
      <c r="D94" s="427"/>
      <c r="E94" s="427"/>
      <c r="F94" s="427"/>
      <c r="G94" s="427"/>
      <c r="H94" s="428"/>
      <c r="I94" s="427"/>
      <c r="J94" s="427"/>
      <c r="K94" s="428"/>
      <c r="L94" s="427"/>
      <c r="M94" s="427"/>
      <c r="N94" s="429"/>
      <c r="O94" s="427"/>
      <c r="P94" s="427"/>
      <c r="Q94" s="408"/>
      <c r="R94" s="408"/>
    </row>
    <row r="95" spans="1:18" ht="12.75" customHeight="1" x14ac:dyDescent="0.25">
      <c r="A95" s="408"/>
      <c r="B95" s="879" t="s">
        <v>292</v>
      </c>
      <c r="C95" s="879"/>
      <c r="D95" s="879"/>
      <c r="E95" s="879"/>
      <c r="F95" s="879"/>
      <c r="G95" s="879"/>
      <c r="H95" s="879"/>
      <c r="I95" s="879"/>
      <c r="J95" s="879"/>
      <c r="K95" s="879"/>
      <c r="L95" s="879"/>
      <c r="M95" s="879"/>
      <c r="N95" s="879"/>
      <c r="O95" s="879"/>
      <c r="P95" s="427"/>
      <c r="Q95" s="408"/>
      <c r="R95" s="408"/>
    </row>
    <row r="96" spans="1:18" ht="12.75" customHeight="1" x14ac:dyDescent="0.25">
      <c r="A96" s="408"/>
      <c r="B96" s="879"/>
      <c r="C96" s="879"/>
      <c r="D96" s="879"/>
      <c r="E96" s="879"/>
      <c r="F96" s="879"/>
      <c r="G96" s="879"/>
      <c r="H96" s="879"/>
      <c r="I96" s="879"/>
      <c r="J96" s="879"/>
      <c r="K96" s="879"/>
      <c r="L96" s="879"/>
      <c r="M96" s="879"/>
      <c r="N96" s="879"/>
      <c r="O96" s="879"/>
      <c r="P96" s="427"/>
      <c r="Q96" s="408"/>
      <c r="R96" s="408"/>
    </row>
    <row r="97" spans="1:18" ht="12.75" customHeight="1" x14ac:dyDescent="0.25">
      <c r="A97" s="408"/>
      <c r="B97" s="879"/>
      <c r="C97" s="879"/>
      <c r="D97" s="879"/>
      <c r="E97" s="879"/>
      <c r="F97" s="879"/>
      <c r="G97" s="879"/>
      <c r="H97" s="879"/>
      <c r="I97" s="879"/>
      <c r="J97" s="879"/>
      <c r="K97" s="879"/>
      <c r="L97" s="879"/>
      <c r="M97" s="879"/>
      <c r="N97" s="879"/>
      <c r="O97" s="879"/>
      <c r="P97" s="427"/>
      <c r="Q97" s="408"/>
      <c r="R97" s="408"/>
    </row>
    <row r="98" spans="1:18" ht="12.75" customHeight="1" x14ac:dyDescent="0.25">
      <c r="A98" s="408"/>
      <c r="B98" s="879"/>
      <c r="C98" s="879"/>
      <c r="D98" s="879"/>
      <c r="E98" s="879"/>
      <c r="F98" s="879"/>
      <c r="G98" s="879"/>
      <c r="H98" s="879"/>
      <c r="I98" s="879"/>
      <c r="J98" s="879"/>
      <c r="K98" s="879"/>
      <c r="L98" s="879"/>
      <c r="M98" s="879"/>
      <c r="N98" s="879"/>
      <c r="O98" s="879"/>
      <c r="P98" s="427"/>
      <c r="Q98" s="408"/>
      <c r="R98" s="408"/>
    </row>
    <row r="99" spans="1:18" ht="12.75" customHeight="1" x14ac:dyDescent="0.25">
      <c r="A99" s="408"/>
      <c r="B99" s="818"/>
      <c r="C99" s="818"/>
      <c r="D99" s="818"/>
      <c r="E99" s="818"/>
      <c r="F99" s="818"/>
      <c r="G99" s="818"/>
      <c r="H99" s="818"/>
      <c r="I99" s="818"/>
      <c r="J99" s="818"/>
      <c r="K99" s="818"/>
      <c r="L99" s="818"/>
      <c r="M99" s="818"/>
      <c r="N99" s="818"/>
      <c r="O99" s="818"/>
      <c r="P99" s="427"/>
      <c r="Q99" s="408"/>
      <c r="R99" s="408"/>
    </row>
    <row r="100" spans="1:18" ht="12.75" customHeight="1" x14ac:dyDescent="0.25">
      <c r="A100" s="408"/>
      <c r="B100" s="754"/>
      <c r="C100" s="754"/>
      <c r="D100" s="754"/>
      <c r="E100" s="754"/>
      <c r="F100" s="754"/>
      <c r="G100" s="754"/>
      <c r="H100" s="754"/>
      <c r="I100" s="754"/>
      <c r="J100" s="754"/>
      <c r="K100" s="754"/>
      <c r="L100" s="754"/>
      <c r="M100" s="754"/>
      <c r="N100" s="754"/>
      <c r="O100" s="754"/>
      <c r="P100" s="427"/>
      <c r="Q100" s="408"/>
      <c r="R100" s="408"/>
    </row>
    <row r="101" spans="1:18" ht="12.75" customHeight="1" x14ac:dyDescent="0.25">
      <c r="A101" s="408"/>
      <c r="B101" s="755" t="s">
        <v>293</v>
      </c>
      <c r="C101" s="754"/>
      <c r="D101" s="754"/>
      <c r="E101" s="754"/>
      <c r="F101" s="754"/>
      <c r="G101" s="754"/>
      <c r="H101" s="756"/>
      <c r="I101" s="754"/>
      <c r="J101" s="754"/>
      <c r="K101" s="756"/>
      <c r="L101" s="754"/>
      <c r="M101" s="754"/>
      <c r="N101" s="756"/>
      <c r="O101" s="754"/>
      <c r="P101" s="427"/>
      <c r="Q101" s="408"/>
      <c r="R101" s="756"/>
    </row>
    <row r="102" spans="1:18" ht="12.75" customHeight="1" x14ac:dyDescent="0.25">
      <c r="A102" s="408"/>
      <c r="B102" s="754"/>
      <c r="C102" s="754"/>
      <c r="D102" s="754"/>
      <c r="E102" s="754"/>
      <c r="F102" s="754"/>
      <c r="G102" s="754"/>
      <c r="H102" s="757">
        <f>SUM(H101:H101)</f>
        <v>0.0</v>
      </c>
      <c r="I102" s="754"/>
      <c r="J102" s="754"/>
      <c r="K102" s="757">
        <f>SUM(K101:K101)</f>
        <v>0.0</v>
      </c>
      <c r="L102" s="754"/>
      <c r="M102" s="754"/>
      <c r="N102" s="757">
        <f>SUM(N101:N101)</f>
        <v>0.0</v>
      </c>
      <c r="O102" s="754"/>
      <c r="P102" s="427"/>
      <c r="Q102" s="408"/>
      <c r="R102" s="757">
        <f>SUM(R101:R101)</f>
        <v>0.0</v>
      </c>
    </row>
    <row r="103" spans="1:18" ht="12.75" customHeight="1" x14ac:dyDescent="0.25">
      <c r="A103" s="408"/>
      <c r="B103" s="754"/>
      <c r="C103" s="754"/>
      <c r="D103" s="754"/>
      <c r="E103" s="754"/>
      <c r="F103" s="754"/>
      <c r="G103" s="754"/>
      <c r="H103" s="814"/>
      <c r="I103" s="754"/>
      <c r="J103" s="754"/>
      <c r="K103" s="814"/>
      <c r="L103" s="754"/>
      <c r="M103" s="754"/>
      <c r="N103" s="814"/>
      <c r="O103" s="754"/>
      <c r="P103" s="427"/>
      <c r="Q103" s="408"/>
      <c r="R103" s="408"/>
    </row>
    <row r="104" spans="1:18" ht="12.75" customHeight="1" x14ac:dyDescent="0.25">
      <c r="A104" s="408"/>
      <c r="B104" s="755" t="s">
        <v>289</v>
      </c>
      <c r="C104" s="754"/>
      <c r="D104" s="754"/>
      <c r="E104" s="754"/>
      <c r="F104" s="754"/>
      <c r="G104" s="754"/>
      <c r="H104" s="756">
        <f>IF(H106="",0,H106-H102)</f>
        <v>0.0</v>
      </c>
      <c r="I104" s="754"/>
      <c r="J104" s="754"/>
      <c r="K104" s="756">
        <f>IF(K106="",0,K106-K102)</f>
        <v>0.0</v>
      </c>
      <c r="L104" s="754"/>
      <c r="M104" s="754"/>
      <c r="N104" s="756">
        <f>IF(N106="",0,N106-N102)</f>
        <v>0.0</v>
      </c>
      <c r="O104" s="754"/>
      <c r="P104" s="427"/>
      <c r="Q104" s="408"/>
      <c r="R104" s="756">
        <f>IF(R106="",0,R106-R102)</f>
        <v>0.0</v>
      </c>
    </row>
    <row r="105" spans="1:18" ht="12.75" customHeight="1" x14ac:dyDescent="0.25">
      <c r="A105" s="408"/>
      <c r="B105" s="754"/>
      <c r="C105" s="754"/>
      <c r="D105" s="754"/>
      <c r="E105" s="754"/>
      <c r="F105" s="754"/>
      <c r="G105" s="754"/>
      <c r="H105" s="754"/>
      <c r="I105" s="754"/>
      <c r="J105" s="754"/>
      <c r="K105" s="754"/>
      <c r="L105" s="754"/>
      <c r="M105" s="754"/>
      <c r="N105" s="754"/>
      <c r="O105" s="754"/>
      <c r="P105" s="427"/>
      <c r="Q105" s="408"/>
      <c r="R105" s="408"/>
    </row>
    <row r="106" spans="1:18" ht="12.75" customHeight="1" x14ac:dyDescent="0.25">
      <c r="A106" s="408"/>
      <c r="B106" s="755" t="s">
        <v>294</v>
      </c>
      <c r="C106" s="754"/>
      <c r="D106" s="754"/>
      <c r="E106" s="754"/>
      <c r="F106" s="754"/>
      <c r="G106" s="754"/>
      <c r="H106" s="757"/>
      <c r="I106" s="754"/>
      <c r="J106" s="754"/>
      <c r="K106" s="757"/>
      <c r="L106" s="754"/>
      <c r="M106" s="754"/>
      <c r="N106" s="757"/>
      <c r="O106" s="754"/>
      <c r="P106" s="427"/>
      <c r="Q106" s="408"/>
      <c r="R106" s="757"/>
    </row>
    <row r="107" spans="1:18" ht="12.75" customHeight="1" x14ac:dyDescent="0.25">
      <c r="A107" s="408"/>
      <c r="B107" s="754"/>
      <c r="C107" s="754"/>
      <c r="D107" s="754"/>
      <c r="E107" s="754"/>
      <c r="F107" s="754"/>
      <c r="G107" s="754"/>
      <c r="I107" s="754"/>
      <c r="J107" s="754"/>
      <c r="L107" s="754"/>
      <c r="M107" s="754"/>
      <c r="O107" s="754"/>
      <c r="P107" s="427"/>
      <c r="Q107" s="408"/>
      <c r="R107" s="408"/>
    </row>
    <row r="108" spans="1:18" ht="12.75" customHeight="1" x14ac:dyDescent="0.25">
      <c r="A108" s="408"/>
      <c r="B108" s="754"/>
      <c r="C108" s="754"/>
      <c r="D108" s="754"/>
      <c r="E108" s="754"/>
      <c r="F108" s="754"/>
      <c r="G108" s="754"/>
      <c r="I108" s="754"/>
      <c r="J108" s="754"/>
      <c r="L108" s="754"/>
      <c r="M108" s="754"/>
      <c r="O108" s="754"/>
      <c r="P108" s="427"/>
      <c r="Q108" s="408"/>
      <c r="R108" s="408"/>
    </row>
    <row r="109" spans="1:18" ht="12.75" customHeight="1" x14ac:dyDescent="0.25">
      <c r="A109" s="408"/>
      <c r="B109" s="819"/>
      <c r="C109" s="754"/>
      <c r="D109" s="754"/>
      <c r="E109" s="754"/>
      <c r="F109" s="754"/>
      <c r="G109" s="754"/>
      <c r="I109" s="754"/>
      <c r="J109" s="754"/>
      <c r="L109" s="754"/>
      <c r="M109" s="754"/>
      <c r="O109" s="754"/>
      <c r="P109" s="427"/>
      <c r="Q109" s="408"/>
      <c r="R109" s="408"/>
    </row>
    <row r="110" spans="1:18" x14ac:dyDescent="0.25">
      <c r="A110" s="408"/>
      <c r="B110" s="783"/>
      <c r="C110" s="783"/>
      <c r="D110" s="783"/>
      <c r="E110" s="783"/>
      <c r="F110" s="783"/>
      <c r="G110" s="783"/>
      <c r="H110" s="783"/>
      <c r="I110" s="783"/>
      <c r="J110" s="783"/>
      <c r="K110" s="783"/>
      <c r="L110" s="783"/>
      <c r="M110" s="783"/>
      <c r="N110" s="783"/>
      <c r="O110" s="783"/>
      <c r="P110" s="427"/>
      <c r="Q110" s="408"/>
      <c r="R110" s="408"/>
    </row>
    <row r="111" spans="1:18" ht="12.75" customHeight="1" x14ac:dyDescent="0.25">
      <c r="A111" s="408"/>
      <c r="B111" s="753" t="s">
        <v>295</v>
      </c>
      <c r="C111" s="427"/>
      <c r="D111" s="427"/>
      <c r="E111" s="427"/>
      <c r="F111" s="427"/>
      <c r="G111" s="427"/>
      <c r="H111" s="428"/>
      <c r="I111" s="427"/>
      <c r="J111" s="427"/>
      <c r="K111" s="428"/>
      <c r="L111" s="427"/>
      <c r="M111" s="427"/>
      <c r="N111" s="758"/>
      <c r="O111" s="427"/>
      <c r="P111" s="427"/>
      <c r="Q111" s="408"/>
      <c r="R111" s="408"/>
    </row>
    <row r="112" spans="1:18" ht="12.75" customHeight="1" x14ac:dyDescent="0.25">
      <c r="A112" s="408"/>
      <c r="B112" s="413" t="s">
        <v>296</v>
      </c>
      <c r="C112" s="427"/>
      <c r="D112" s="427"/>
      <c r="E112" s="427"/>
      <c r="F112" s="427"/>
      <c r="G112" s="427"/>
      <c r="H112" s="428"/>
      <c r="I112" s="427"/>
      <c r="J112" s="427"/>
      <c r="K112" s="428"/>
      <c r="L112" s="427"/>
      <c r="M112" s="427"/>
      <c r="N112" s="758"/>
      <c r="O112" s="427"/>
      <c r="P112" s="427"/>
      <c r="Q112" s="408"/>
      <c r="R112" s="408"/>
    </row>
    <row r="113" spans="1:18" ht="12.75" customHeight="1" x14ac:dyDescent="0.25">
      <c r="A113" s="408"/>
      <c r="B113" s="413"/>
      <c r="C113" s="427"/>
      <c r="D113" s="427"/>
      <c r="E113" s="427"/>
      <c r="F113" s="427"/>
      <c r="G113" s="427"/>
      <c r="H113" s="428"/>
      <c r="I113" s="427"/>
      <c r="J113" s="427"/>
      <c r="K113" s="428"/>
      <c r="L113" s="427"/>
      <c r="M113" s="427"/>
      <c r="N113" s="758"/>
      <c r="O113" s="427"/>
      <c r="P113" s="427"/>
      <c r="Q113" s="408"/>
      <c r="R113" s="408"/>
    </row>
    <row r="114" spans="1:18" ht="12.75" customHeight="1" x14ac:dyDescent="0.25">
      <c r="A114" s="408"/>
      <c r="B114" s="760" t="s">
        <v>297</v>
      </c>
      <c r="C114" s="427"/>
      <c r="D114" s="427"/>
      <c r="E114" s="427"/>
      <c r="F114" s="427"/>
      <c r="G114" s="427"/>
      <c r="H114" s="414"/>
      <c r="I114" s="427"/>
      <c r="J114" s="427"/>
      <c r="K114" s="414"/>
      <c r="L114" s="427"/>
      <c r="M114" s="427"/>
      <c r="N114" s="414"/>
      <c r="O114" s="427"/>
      <c r="P114" s="427"/>
      <c r="Q114" s="408"/>
      <c r="R114" s="414"/>
    </row>
    <row r="115" spans="1:18" ht="12.75" customHeight="1" x14ac:dyDescent="0.25">
      <c r="A115" s="408"/>
      <c r="B115" s="413"/>
      <c r="C115" s="427"/>
      <c r="D115" s="427"/>
      <c r="E115" s="427"/>
      <c r="F115" s="427"/>
      <c r="G115" s="427"/>
      <c r="H115" s="752">
        <f>SUM(H114:H114)</f>
        <v>0.0</v>
      </c>
      <c r="I115" s="427"/>
      <c r="J115" s="427"/>
      <c r="K115" s="752">
        <f>SUM(K114:K114)</f>
        <v>0.0</v>
      </c>
      <c r="L115" s="427"/>
      <c r="M115" s="427"/>
      <c r="N115" s="752">
        <f>SUM(N114:N114)</f>
        <v>0.0</v>
      </c>
      <c r="O115" s="427"/>
      <c r="P115" s="427"/>
      <c r="Q115" s="408"/>
      <c r="R115" s="752">
        <f>SUM(R114:R114)</f>
        <v>0.0</v>
      </c>
    </row>
    <row r="116" spans="1:18" ht="12.75" hidden="1" customHeight="1" x14ac:dyDescent="0.25">
      <c r="A116" s="408"/>
      <c r="B116" s="413"/>
      <c r="C116" s="427"/>
      <c r="D116" s="427"/>
      <c r="E116" s="427"/>
      <c r="F116" s="427"/>
      <c r="G116" s="427"/>
      <c r="H116" s="428"/>
      <c r="I116" s="427"/>
      <c r="J116" s="427"/>
      <c r="K116" s="428"/>
      <c r="L116" s="427"/>
      <c r="M116" s="427"/>
      <c r="N116" s="758"/>
      <c r="O116" s="427"/>
      <c r="P116" s="427"/>
      <c r="Q116" s="408"/>
      <c r="R116" s="408"/>
    </row>
    <row r="117" spans="1:18" ht="12.75" hidden="1" customHeight="1" x14ac:dyDescent="0.25">
      <c r="A117" s="408"/>
      <c r="B117" s="413"/>
      <c r="C117" s="427"/>
      <c r="D117" s="427"/>
      <c r="E117" s="427"/>
      <c r="F117" s="427"/>
      <c r="G117" s="427"/>
      <c r="H117" s="428"/>
      <c r="I117" s="427"/>
      <c r="J117" s="427"/>
      <c r="K117" s="428"/>
      <c r="L117" s="427"/>
      <c r="M117" s="427"/>
      <c r="N117" s="758"/>
      <c r="O117" s="427"/>
      <c r="P117" s="427"/>
      <c r="Q117" s="408"/>
      <c r="R117" s="408"/>
    </row>
    <row r="118" spans="1:18" ht="12.75" hidden="1" customHeight="1" x14ac:dyDescent="0.25">
      <c r="A118" s="408"/>
      <c r="B118" s="413"/>
      <c r="C118" s="427"/>
      <c r="D118" s="427"/>
      <c r="E118" s="427"/>
      <c r="F118" s="427"/>
      <c r="G118" s="427"/>
      <c r="H118" s="428"/>
      <c r="I118" s="427"/>
      <c r="J118" s="427"/>
      <c r="K118" s="428"/>
      <c r="L118" s="427"/>
      <c r="M118" s="427"/>
      <c r="N118" s="758"/>
      <c r="O118" s="427"/>
      <c r="P118" s="427"/>
      <c r="Q118" s="408"/>
      <c r="R118" s="408"/>
    </row>
    <row r="119" spans="1:18" ht="12.75" hidden="1" customHeight="1" x14ac:dyDescent="0.25">
      <c r="A119" s="408"/>
      <c r="B119" s="413"/>
      <c r="C119" s="427"/>
      <c r="D119" s="427"/>
      <c r="E119" s="427"/>
      <c r="F119" s="427"/>
      <c r="G119" s="427"/>
      <c r="H119" s="428"/>
      <c r="I119" s="427"/>
      <c r="J119" s="427"/>
      <c r="K119" s="428"/>
      <c r="L119" s="427"/>
      <c r="M119" s="427"/>
      <c r="N119" s="758"/>
      <c r="O119" s="427"/>
      <c r="P119" s="427"/>
      <c r="Q119" s="408"/>
      <c r="R119" s="408"/>
    </row>
    <row r="120" spans="1:18" ht="12.75" hidden="1" customHeight="1" x14ac:dyDescent="0.25">
      <c r="A120" s="408"/>
      <c r="B120" s="413"/>
      <c r="C120" s="427"/>
      <c r="D120" s="427"/>
      <c r="E120" s="427"/>
      <c r="F120" s="427"/>
      <c r="G120" s="427"/>
      <c r="H120" s="428"/>
      <c r="I120" s="427"/>
      <c r="J120" s="427"/>
      <c r="K120" s="428"/>
      <c r="L120" s="427"/>
      <c r="M120" s="427"/>
      <c r="N120" s="758"/>
      <c r="O120" s="427"/>
      <c r="P120" s="427"/>
      <c r="Q120" s="408"/>
      <c r="R120" s="408"/>
    </row>
    <row r="121" spans="1:18" ht="12.75" hidden="1" customHeight="1" x14ac:dyDescent="0.25">
      <c r="A121" s="408"/>
      <c r="B121" s="760"/>
      <c r="C121" s="427"/>
      <c r="D121" s="427"/>
      <c r="E121" s="427"/>
      <c r="F121" s="427"/>
      <c r="G121" s="427"/>
      <c r="H121" s="414"/>
      <c r="I121" s="427"/>
      <c r="J121" s="427"/>
      <c r="K121" s="414"/>
      <c r="L121" s="427"/>
      <c r="M121" s="427"/>
      <c r="N121" s="414"/>
      <c r="O121" s="427"/>
      <c r="P121" s="427"/>
      <c r="Q121" s="408"/>
      <c r="R121" s="408"/>
    </row>
    <row r="122" spans="1:18" ht="12.75" hidden="1" customHeight="1" x14ac:dyDescent="0.25">
      <c r="A122" s="408"/>
      <c r="B122" s="760"/>
      <c r="C122" s="427"/>
      <c r="D122" s="427"/>
      <c r="E122" s="427"/>
      <c r="F122" s="427"/>
      <c r="G122" s="427"/>
      <c r="H122" s="414"/>
      <c r="I122" s="427"/>
      <c r="J122" s="427"/>
      <c r="K122" s="414"/>
      <c r="L122" s="427"/>
      <c r="M122" s="427"/>
      <c r="N122" s="414"/>
      <c r="O122" s="427"/>
      <c r="P122" s="427"/>
      <c r="Q122" s="408"/>
      <c r="R122" s="408"/>
    </row>
    <row r="123" spans="1:18" ht="12.75" hidden="1" customHeight="1" x14ac:dyDescent="0.25">
      <c r="A123" s="408"/>
      <c r="B123" s="760"/>
      <c r="C123" s="427"/>
      <c r="D123" s="427"/>
      <c r="E123" s="427"/>
      <c r="F123" s="427"/>
      <c r="G123" s="427"/>
      <c r="H123" s="414"/>
      <c r="I123" s="427"/>
      <c r="J123" s="427"/>
      <c r="K123" s="414"/>
      <c r="L123" s="427"/>
      <c r="M123" s="427"/>
      <c r="N123" s="414"/>
      <c r="O123" s="427"/>
      <c r="P123" s="427"/>
      <c r="Q123" s="408"/>
      <c r="R123" s="408"/>
    </row>
    <row r="124" spans="1:18" ht="12.75" hidden="1" customHeight="1" x14ac:dyDescent="0.25">
      <c r="A124" s="408"/>
      <c r="B124" s="760"/>
      <c r="C124" s="427"/>
      <c r="D124" s="427"/>
      <c r="E124" s="427"/>
      <c r="F124" s="427"/>
      <c r="G124" s="427"/>
      <c r="H124" s="415"/>
      <c r="I124" s="427"/>
      <c r="J124" s="427"/>
      <c r="K124" s="414"/>
      <c r="L124" s="427"/>
      <c r="M124" s="427"/>
      <c r="N124" s="414"/>
      <c r="O124" s="427"/>
      <c r="P124" s="427"/>
      <c r="Q124" s="408"/>
      <c r="R124" s="408"/>
    </row>
    <row r="125" spans="1:18" hidden="1" x14ac:dyDescent="0.25">
      <c r="B125" s="761"/>
      <c r="H125" s="436"/>
      <c r="K125" s="763"/>
      <c r="N125" s="668"/>
    </row>
    <row r="126" spans="1:18" ht="12.75" hidden="1" customHeight="1" x14ac:dyDescent="0.25">
      <c r="A126" s="408"/>
      <c r="B126" s="760"/>
      <c r="C126" s="427"/>
      <c r="D126" s="427"/>
      <c r="E126" s="427"/>
      <c r="F126" s="427"/>
      <c r="G126" s="427"/>
      <c r="H126" s="415"/>
      <c r="I126" s="427"/>
      <c r="J126" s="427"/>
      <c r="K126" s="414"/>
      <c r="L126" s="427"/>
      <c r="M126" s="427"/>
      <c r="N126" s="414"/>
      <c r="O126" s="427"/>
      <c r="P126" s="427"/>
      <c r="Q126" s="408"/>
      <c r="R126" s="408"/>
    </row>
    <row r="127" spans="1:18" ht="12.75" hidden="1" customHeight="1" x14ac:dyDescent="0.25">
      <c r="A127" s="408"/>
      <c r="B127" s="760"/>
      <c r="C127" s="427"/>
      <c r="D127" s="427"/>
      <c r="E127" s="427"/>
      <c r="F127" s="427"/>
      <c r="G127" s="427"/>
      <c r="H127" s="415"/>
      <c r="I127" s="427"/>
      <c r="J127" s="427"/>
      <c r="K127" s="414"/>
      <c r="L127" s="427"/>
      <c r="M127" s="427"/>
      <c r="N127" s="414"/>
      <c r="O127" s="427"/>
      <c r="P127" s="427"/>
      <c r="Q127" s="408"/>
      <c r="R127" s="408"/>
    </row>
    <row r="128" spans="1:18" ht="12.75" hidden="1" customHeight="1" x14ac:dyDescent="0.25">
      <c r="A128" s="408"/>
      <c r="B128" s="760"/>
      <c r="C128" s="427"/>
      <c r="D128" s="427"/>
      <c r="E128" s="427"/>
      <c r="F128" s="427"/>
      <c r="G128" s="427"/>
      <c r="H128" s="415"/>
      <c r="I128" s="427"/>
      <c r="J128" s="427"/>
      <c r="K128" s="414"/>
      <c r="L128" s="427"/>
      <c r="M128" s="427"/>
      <c r="N128" s="414"/>
      <c r="O128" s="427"/>
      <c r="P128" s="427"/>
      <c r="Q128" s="408"/>
      <c r="R128" s="408"/>
    </row>
    <row r="129" spans="1:18" ht="12.75" hidden="1" customHeight="1" x14ac:dyDescent="0.25">
      <c r="A129" s="408"/>
      <c r="B129" s="413"/>
      <c r="C129" s="427"/>
      <c r="D129" s="427"/>
      <c r="E129" s="427"/>
      <c r="F129" s="427"/>
      <c r="G129" s="427"/>
      <c r="H129" s="752"/>
      <c r="I129" s="427"/>
      <c r="J129" s="427"/>
      <c r="K129" s="752"/>
      <c r="L129" s="427"/>
      <c r="M129" s="427"/>
      <c r="N129" s="752"/>
      <c r="O129" s="427"/>
      <c r="P129" s="427"/>
      <c r="Q129" s="408"/>
      <c r="R129" s="408"/>
    </row>
    <row r="130" spans="1:18" ht="12.75" hidden="1" customHeight="1" x14ac:dyDescent="0.25">
      <c r="A130" s="408"/>
      <c r="B130" s="413"/>
      <c r="C130" s="427"/>
      <c r="D130" s="427"/>
      <c r="E130" s="427"/>
      <c r="F130" s="427"/>
      <c r="G130" s="427"/>
      <c r="H130" s="764"/>
      <c r="I130" s="427"/>
      <c r="J130" s="427"/>
      <c r="K130" s="764"/>
      <c r="L130" s="427"/>
      <c r="M130" s="427"/>
      <c r="N130" s="759"/>
      <c r="O130" s="427"/>
      <c r="P130" s="427"/>
      <c r="Q130" s="408"/>
      <c r="R130" s="408"/>
    </row>
    <row r="131" spans="1:18" ht="12.75" hidden="1" customHeight="1" x14ac:dyDescent="0.25">
      <c r="A131" s="408"/>
      <c r="B131" s="413"/>
      <c r="C131" s="427"/>
      <c r="D131" s="427"/>
      <c r="E131" s="427"/>
      <c r="F131" s="427"/>
      <c r="G131" s="427"/>
      <c r="H131" s="752"/>
      <c r="I131" s="427"/>
      <c r="J131" s="427"/>
      <c r="K131" s="752"/>
      <c r="L131" s="427"/>
      <c r="M131" s="427"/>
      <c r="N131" s="752"/>
      <c r="O131" s="427"/>
      <c r="P131" s="427"/>
      <c r="Q131" s="408"/>
      <c r="R131" s="408"/>
    </row>
    <row r="132" spans="1:18" ht="12.75" customHeight="1" x14ac:dyDescent="0.25">
      <c r="A132" s="408"/>
      <c r="B132" s="413"/>
      <c r="C132" s="427"/>
      <c r="D132" s="427"/>
      <c r="E132" s="427"/>
      <c r="F132" s="427"/>
      <c r="G132" s="427"/>
      <c r="H132" s="428"/>
      <c r="I132" s="427"/>
      <c r="J132" s="427"/>
      <c r="K132" s="428"/>
      <c r="L132" s="427"/>
      <c r="M132" s="427"/>
      <c r="N132" s="758"/>
      <c r="O132" s="427"/>
      <c r="P132" s="427"/>
      <c r="Q132" s="408"/>
      <c r="R132" s="408"/>
    </row>
    <row r="133" spans="1:18" ht="12.75" customHeight="1" x14ac:dyDescent="0.25">
      <c r="A133" s="408"/>
      <c r="B133" s="762" t="s">
        <v>298</v>
      </c>
      <c r="C133" s="427"/>
      <c r="D133" s="427"/>
      <c r="E133" s="427"/>
      <c r="F133" s="427"/>
      <c r="G133" s="427"/>
      <c r="H133" s="428"/>
      <c r="I133" s="427"/>
      <c r="J133" s="427"/>
      <c r="K133" s="428"/>
      <c r="L133" s="427"/>
      <c r="M133" s="427"/>
      <c r="N133" s="429"/>
      <c r="O133" s="427"/>
      <c r="P133" s="427"/>
      <c r="Q133" s="408"/>
      <c r="R133" s="408"/>
    </row>
    <row r="134" spans="1:18" ht="12.75" customHeight="1" x14ac:dyDescent="0.25">
      <c r="A134" s="408"/>
      <c r="B134" s="880" t="s">
        <v>299</v>
      </c>
      <c r="C134" s="880"/>
      <c r="D134" s="880"/>
      <c r="E134" s="880"/>
      <c r="F134" s="880"/>
      <c r="G134" s="880"/>
      <c r="H134" s="880"/>
      <c r="I134" s="880"/>
      <c r="J134" s="880"/>
      <c r="K134" s="880"/>
      <c r="L134" s="880"/>
      <c r="M134" s="880"/>
      <c r="N134" s="880"/>
      <c r="O134" s="880"/>
      <c r="P134" s="880"/>
      <c r="Q134" s="408"/>
      <c r="R134" s="408"/>
    </row>
    <row r="135" spans="1:18" ht="12.75" customHeight="1" x14ac:dyDescent="0.25">
      <c r="A135" s="408"/>
      <c r="B135" s="880"/>
      <c r="C135" s="880"/>
      <c r="D135" s="880"/>
      <c r="E135" s="880"/>
      <c r="F135" s="880"/>
      <c r="G135" s="880"/>
      <c r="H135" s="880"/>
      <c r="I135" s="880"/>
      <c r="J135" s="880"/>
      <c r="K135" s="880"/>
      <c r="L135" s="880"/>
      <c r="M135" s="880"/>
      <c r="N135" s="880"/>
      <c r="O135" s="880"/>
      <c r="P135" s="880"/>
      <c r="Q135" s="408"/>
      <c r="R135" s="408"/>
    </row>
    <row r="136" spans="1:18" ht="12.75" customHeight="1" x14ac:dyDescent="0.25">
      <c r="A136" s="408"/>
      <c r="B136" s="815"/>
      <c r="C136" s="815"/>
      <c r="D136" s="815"/>
      <c r="E136" s="815"/>
      <c r="F136" s="815"/>
      <c r="G136" s="815"/>
      <c r="H136" s="815"/>
      <c r="I136" s="815"/>
      <c r="J136" s="815"/>
      <c r="K136" s="815"/>
      <c r="L136" s="815"/>
      <c r="M136" s="815"/>
      <c r="N136" s="815"/>
      <c r="O136" s="815"/>
      <c r="P136" s="815"/>
      <c r="Q136" s="408"/>
      <c r="R136" s="408"/>
    </row>
    <row r="137" spans="1:18" ht="12.75" customHeight="1" x14ac:dyDescent="0.25">
      <c r="A137" s="408"/>
      <c r="B137" s="762" t="s">
        <v>300</v>
      </c>
      <c r="C137" s="427"/>
      <c r="D137" s="427"/>
      <c r="E137" s="427"/>
      <c r="F137" s="427"/>
      <c r="G137" s="427"/>
      <c r="H137" s="428"/>
      <c r="I137" s="427"/>
      <c r="J137" s="427"/>
      <c r="K137" s="428"/>
      <c r="L137" s="427"/>
      <c r="M137" s="427"/>
      <c r="N137" s="429"/>
      <c r="O137" s="427"/>
      <c r="P137" s="427"/>
      <c r="Q137" s="408"/>
      <c r="R137" s="408"/>
    </row>
    <row r="138" spans="1:18" ht="12.75" customHeight="1" x14ac:dyDescent="0.25">
      <c r="A138" s="408"/>
      <c r="B138" s="880" t="s">
        <v>301</v>
      </c>
      <c r="C138" s="880"/>
      <c r="D138" s="880"/>
      <c r="E138" s="880"/>
      <c r="F138" s="880"/>
      <c r="G138" s="880"/>
      <c r="H138" s="880"/>
      <c r="I138" s="880"/>
      <c r="J138" s="880"/>
      <c r="K138" s="880"/>
      <c r="L138" s="880"/>
      <c r="M138" s="880"/>
      <c r="N138" s="880"/>
      <c r="O138" s="880"/>
      <c r="P138" s="880"/>
      <c r="Q138" s="408"/>
      <c r="R138" s="408"/>
    </row>
    <row r="139" spans="1:18" ht="12.75" customHeight="1" x14ac:dyDescent="0.25">
      <c r="A139" s="408"/>
      <c r="B139" s="880"/>
      <c r="C139" s="880"/>
      <c r="D139" s="880"/>
      <c r="E139" s="880"/>
      <c r="F139" s="880"/>
      <c r="G139" s="880"/>
      <c r="H139" s="880"/>
      <c r="I139" s="880"/>
      <c r="J139" s="880"/>
      <c r="K139" s="880"/>
      <c r="L139" s="880"/>
      <c r="M139" s="880"/>
      <c r="N139" s="880"/>
      <c r="O139" s="880"/>
      <c r="P139" s="880"/>
      <c r="Q139" s="408"/>
      <c r="R139" s="408"/>
    </row>
    <row r="140" spans="1:18" ht="12.75" customHeight="1" x14ac:dyDescent="0.25">
      <c r="A140" s="408"/>
      <c r="B140" s="880"/>
      <c r="C140" s="880"/>
      <c r="D140" s="880"/>
      <c r="E140" s="880"/>
      <c r="F140" s="880"/>
      <c r="G140" s="880"/>
      <c r="H140" s="880"/>
      <c r="I140" s="880"/>
      <c r="J140" s="880"/>
      <c r="K140" s="880"/>
      <c r="L140" s="880"/>
      <c r="M140" s="880"/>
      <c r="N140" s="880"/>
      <c r="O140" s="880"/>
      <c r="P140" s="880"/>
      <c r="Q140" s="408"/>
      <c r="R140" s="408"/>
    </row>
    <row r="141" spans="1:18" x14ac:dyDescent="0.25">
      <c r="A141" s="408"/>
      <c r="B141" s="875" t="s">
        <v>302</v>
      </c>
      <c r="C141" s="875"/>
      <c r="D141" s="875"/>
      <c r="E141" s="875"/>
      <c r="F141" s="875"/>
      <c r="G141" s="875"/>
      <c r="H141" s="875"/>
      <c r="I141" s="875"/>
      <c r="J141" s="875"/>
      <c r="K141" s="875"/>
      <c r="L141" s="875"/>
      <c r="M141" s="875"/>
      <c r="N141" s="875"/>
      <c r="O141" s="875"/>
      <c r="P141" s="875"/>
      <c r="Q141" s="875"/>
      <c r="R141" s="408"/>
    </row>
    <row r="142" spans="1:18" ht="13.2" customHeight="1" x14ac:dyDescent="0.25">
      <c r="A142" s="408"/>
      <c r="B142" s="874" t="s">
        <v>303</v>
      </c>
      <c r="C142" s="874"/>
      <c r="D142" s="874"/>
      <c r="E142" s="874"/>
      <c r="F142" s="874"/>
      <c r="G142" s="874"/>
      <c r="H142" s="874"/>
      <c r="I142" s="874"/>
      <c r="J142" s="874"/>
      <c r="K142" s="874"/>
      <c r="L142" s="874"/>
      <c r="M142" s="874"/>
      <c r="N142" s="874"/>
      <c r="O142" s="874"/>
      <c r="P142" s="874"/>
      <c r="Q142" s="408"/>
      <c r="R142" s="408"/>
    </row>
    <row r="143" spans="1:18" x14ac:dyDescent="0.25">
      <c r="A143" s="408"/>
      <c r="B143" s="874"/>
      <c r="C143" s="874"/>
      <c r="D143" s="874"/>
      <c r="E143" s="874"/>
      <c r="F143" s="874"/>
      <c r="G143" s="874"/>
      <c r="H143" s="874"/>
      <c r="I143" s="874"/>
      <c r="J143" s="874"/>
      <c r="K143" s="874"/>
      <c r="L143" s="874"/>
      <c r="M143" s="874"/>
      <c r="N143" s="874"/>
      <c r="O143" s="874"/>
      <c r="P143" s="874"/>
      <c r="Q143" s="408"/>
    </row>
    <row r="144" spans="1:18" ht="13.2" hidden="1" customHeight="1" x14ac:dyDescent="0.25">
      <c r="A144" s="408"/>
      <c r="B144" s="874"/>
      <c r="C144" s="874"/>
      <c r="D144" s="874"/>
      <c r="E144" s="874"/>
      <c r="F144" s="874"/>
      <c r="G144" s="874"/>
      <c r="H144" s="874"/>
      <c r="I144" s="874"/>
      <c r="J144" s="874"/>
      <c r="K144" s="874"/>
      <c r="L144" s="874"/>
      <c r="M144" s="874"/>
      <c r="N144" s="874"/>
      <c r="O144" s="874"/>
      <c r="P144" s="874"/>
      <c r="Q144" s="435"/>
    </row>
    <row r="145" spans="1:17" ht="13.2" hidden="1" customHeight="1" x14ac:dyDescent="0.25">
      <c r="A145" s="408"/>
      <c r="B145" s="874"/>
      <c r="C145" s="874"/>
      <c r="D145" s="874"/>
      <c r="E145" s="874"/>
      <c r="F145" s="874"/>
      <c r="G145" s="874"/>
      <c r="H145" s="874"/>
      <c r="I145" s="874"/>
      <c r="J145" s="874"/>
      <c r="K145" s="874"/>
      <c r="L145" s="874"/>
      <c r="M145" s="874"/>
      <c r="N145" s="874"/>
      <c r="O145" s="874"/>
      <c r="P145" s="874"/>
      <c r="Q145" s="436"/>
    </row>
    <row r="146" spans="1:17" ht="13.2" hidden="1" customHeight="1" x14ac:dyDescent="0.25">
      <c r="A146" s="408"/>
      <c r="B146" s="874"/>
      <c r="C146" s="874"/>
      <c r="D146" s="874"/>
      <c r="E146" s="874"/>
      <c r="F146" s="874"/>
      <c r="G146" s="874"/>
      <c r="H146" s="874"/>
      <c r="I146" s="874"/>
      <c r="J146" s="874"/>
      <c r="K146" s="874"/>
      <c r="L146" s="874"/>
      <c r="M146" s="874"/>
      <c r="N146" s="874"/>
      <c r="O146" s="874"/>
      <c r="P146" s="874"/>
      <c r="Q146" s="436"/>
    </row>
    <row r="147" spans="1:17" ht="13.2" hidden="1" customHeight="1" x14ac:dyDescent="0.25">
      <c r="A147" s="408"/>
      <c r="B147" s="874"/>
      <c r="C147" s="874"/>
      <c r="D147" s="874"/>
      <c r="E147" s="874"/>
      <c r="F147" s="874"/>
      <c r="G147" s="874"/>
      <c r="H147" s="874"/>
      <c r="I147" s="874"/>
      <c r="J147" s="874"/>
      <c r="K147" s="874"/>
      <c r="L147" s="874"/>
      <c r="M147" s="874"/>
      <c r="N147" s="874"/>
      <c r="O147" s="874"/>
      <c r="P147" s="874"/>
      <c r="Q147" s="436"/>
    </row>
    <row r="148" spans="1:17" ht="13.2" hidden="1" customHeight="1" x14ac:dyDescent="0.25">
      <c r="A148" s="408"/>
      <c r="B148" s="874"/>
      <c r="C148" s="874"/>
      <c r="D148" s="874"/>
      <c r="E148" s="874"/>
      <c r="F148" s="874"/>
      <c r="G148" s="874"/>
      <c r="H148" s="874"/>
      <c r="I148" s="874"/>
      <c r="J148" s="874"/>
      <c r="K148" s="874"/>
      <c r="L148" s="874"/>
      <c r="M148" s="874"/>
      <c r="N148" s="874"/>
      <c r="O148" s="874"/>
      <c r="P148" s="874"/>
      <c r="Q148" s="436"/>
    </row>
    <row r="149" spans="1:17" ht="13.2" hidden="1" customHeight="1" x14ac:dyDescent="0.25">
      <c r="A149" s="408"/>
      <c r="B149" s="874"/>
      <c r="C149" s="874"/>
      <c r="D149" s="874"/>
      <c r="E149" s="874"/>
      <c r="F149" s="874"/>
      <c r="G149" s="874"/>
      <c r="H149" s="874"/>
      <c r="I149" s="874"/>
      <c r="J149" s="874"/>
      <c r="K149" s="874"/>
      <c r="L149" s="874"/>
      <c r="M149" s="874"/>
      <c r="N149" s="874"/>
      <c r="O149" s="874"/>
      <c r="P149" s="874"/>
      <c r="Q149" s="436"/>
    </row>
    <row r="150" spans="1:17" ht="13.2" hidden="1" customHeight="1" x14ac:dyDescent="0.25">
      <c r="A150" s="408"/>
      <c r="B150" s="874"/>
      <c r="C150" s="874"/>
      <c r="D150" s="874"/>
      <c r="E150" s="874"/>
      <c r="F150" s="874"/>
      <c r="G150" s="874"/>
      <c r="H150" s="874"/>
      <c r="I150" s="874"/>
      <c r="J150" s="874"/>
      <c r="K150" s="874"/>
      <c r="L150" s="874"/>
      <c r="M150" s="874"/>
      <c r="N150" s="874"/>
      <c r="O150" s="874"/>
      <c r="P150" s="874"/>
      <c r="Q150" s="436"/>
    </row>
    <row r="151" spans="1:17" ht="13.2" hidden="1" customHeight="1" x14ac:dyDescent="0.25">
      <c r="A151" s="408"/>
      <c r="B151" s="874"/>
      <c r="C151" s="874"/>
      <c r="D151" s="874"/>
      <c r="E151" s="874"/>
      <c r="F151" s="874"/>
      <c r="G151" s="874"/>
      <c r="H151" s="874"/>
      <c r="I151" s="874"/>
      <c r="J151" s="874"/>
      <c r="K151" s="874"/>
      <c r="L151" s="874"/>
      <c r="M151" s="874"/>
      <c r="N151" s="874"/>
      <c r="O151" s="874"/>
      <c r="P151" s="874"/>
      <c r="Q151" s="436"/>
    </row>
    <row r="152" spans="1:17" ht="13.2" hidden="1" customHeight="1" x14ac:dyDescent="0.25">
      <c r="A152" s="408"/>
      <c r="B152" s="874"/>
      <c r="C152" s="874"/>
      <c r="D152" s="874"/>
      <c r="E152" s="874"/>
      <c r="F152" s="874"/>
      <c r="G152" s="874"/>
      <c r="H152" s="874"/>
      <c r="I152" s="874"/>
      <c r="J152" s="874"/>
      <c r="K152" s="874"/>
      <c r="L152" s="874"/>
      <c r="M152" s="874"/>
      <c r="N152" s="874"/>
      <c r="O152" s="874"/>
      <c r="P152" s="874"/>
      <c r="Q152" s="436"/>
    </row>
    <row r="153" spans="1:17" ht="13.2" hidden="1" customHeight="1" x14ac:dyDescent="0.25">
      <c r="A153" s="408"/>
      <c r="B153" s="874"/>
      <c r="C153" s="874"/>
      <c r="D153" s="874"/>
      <c r="E153" s="874"/>
      <c r="F153" s="874"/>
      <c r="G153" s="874"/>
      <c r="H153" s="874"/>
      <c r="I153" s="874"/>
      <c r="J153" s="874"/>
      <c r="K153" s="874"/>
      <c r="L153" s="874"/>
      <c r="M153" s="874"/>
      <c r="N153" s="874"/>
      <c r="O153" s="874"/>
      <c r="P153" s="874"/>
      <c r="Q153" s="436"/>
    </row>
    <row r="154" spans="1:17" ht="13.2" hidden="1" customHeight="1" x14ac:dyDescent="0.25">
      <c r="A154" s="408"/>
      <c r="B154" s="874"/>
      <c r="C154" s="874"/>
      <c r="D154" s="874"/>
      <c r="E154" s="874"/>
      <c r="F154" s="874"/>
      <c r="G154" s="874"/>
      <c r="H154" s="874"/>
      <c r="I154" s="874"/>
      <c r="J154" s="874"/>
      <c r="K154" s="874"/>
      <c r="L154" s="874"/>
      <c r="M154" s="874"/>
      <c r="N154" s="874"/>
      <c r="O154" s="874"/>
      <c r="P154" s="874"/>
      <c r="Q154" s="436"/>
    </row>
    <row r="155" spans="1:17" ht="13.2" hidden="1" customHeight="1" x14ac:dyDescent="0.25">
      <c r="A155" s="408"/>
      <c r="B155" s="874"/>
      <c r="C155" s="874"/>
      <c r="D155" s="874"/>
      <c r="E155" s="874"/>
      <c r="F155" s="874"/>
      <c r="G155" s="874"/>
      <c r="H155" s="874"/>
      <c r="I155" s="874"/>
      <c r="J155" s="874"/>
      <c r="K155" s="874"/>
      <c r="L155" s="874"/>
      <c r="M155" s="874"/>
      <c r="N155" s="874"/>
      <c r="O155" s="874"/>
      <c r="P155" s="874"/>
      <c r="Q155" s="436"/>
    </row>
    <row r="156" spans="1:17" ht="13.2" hidden="1" customHeight="1" x14ac:dyDescent="0.25">
      <c r="A156" s="408"/>
      <c r="B156" s="874"/>
      <c r="C156" s="874"/>
      <c r="D156" s="874"/>
      <c r="E156" s="874"/>
      <c r="F156" s="874"/>
      <c r="G156" s="874"/>
      <c r="H156" s="874"/>
      <c r="I156" s="874"/>
      <c r="J156" s="874"/>
      <c r="K156" s="874"/>
      <c r="L156" s="874"/>
      <c r="M156" s="874"/>
      <c r="N156" s="874"/>
      <c r="O156" s="874"/>
      <c r="P156" s="874"/>
      <c r="Q156" s="436"/>
    </row>
    <row r="157" spans="1:17" ht="13.2" hidden="1" customHeight="1" x14ac:dyDescent="0.25">
      <c r="A157" s="408"/>
      <c r="B157" s="874"/>
      <c r="C157" s="874"/>
      <c r="D157" s="874"/>
      <c r="E157" s="874"/>
      <c r="F157" s="874"/>
      <c r="G157" s="874"/>
      <c r="H157" s="874"/>
      <c r="I157" s="874"/>
      <c r="J157" s="874"/>
      <c r="K157" s="874"/>
      <c r="L157" s="874"/>
      <c r="M157" s="874"/>
      <c r="N157" s="874"/>
      <c r="O157" s="874"/>
      <c r="P157" s="874"/>
      <c r="Q157" s="436"/>
    </row>
    <row r="158" spans="1:17" ht="13.2" hidden="1" customHeight="1" x14ac:dyDescent="0.25">
      <c r="A158" s="408"/>
      <c r="B158" s="874"/>
      <c r="C158" s="874"/>
      <c r="D158" s="874"/>
      <c r="E158" s="874"/>
      <c r="F158" s="874"/>
      <c r="G158" s="874"/>
      <c r="H158" s="874"/>
      <c r="I158" s="874"/>
      <c r="J158" s="874"/>
      <c r="K158" s="874"/>
      <c r="L158" s="874"/>
      <c r="M158" s="874"/>
      <c r="N158" s="874"/>
      <c r="O158" s="874"/>
      <c r="P158" s="874"/>
      <c r="Q158" s="436"/>
    </row>
    <row r="159" spans="1:17" ht="13.2" hidden="1" customHeight="1" x14ac:dyDescent="0.25">
      <c r="A159" s="408"/>
      <c r="B159" s="874"/>
      <c r="C159" s="874"/>
      <c r="D159" s="874"/>
      <c r="E159" s="874"/>
      <c r="F159" s="874"/>
      <c r="G159" s="874"/>
      <c r="H159" s="874"/>
      <c r="I159" s="874"/>
      <c r="J159" s="874"/>
      <c r="K159" s="874"/>
      <c r="L159" s="874"/>
      <c r="M159" s="874"/>
      <c r="N159" s="874"/>
      <c r="O159" s="874"/>
      <c r="P159" s="874"/>
      <c r="Q159" s="436"/>
    </row>
    <row r="160" spans="1:17" ht="13.2" hidden="1" customHeight="1" x14ac:dyDescent="0.25">
      <c r="A160" s="408"/>
      <c r="B160" s="874"/>
      <c r="C160" s="874"/>
      <c r="D160" s="874"/>
      <c r="E160" s="874"/>
      <c r="F160" s="874"/>
      <c r="G160" s="874"/>
      <c r="H160" s="874"/>
      <c r="I160" s="874"/>
      <c r="J160" s="874"/>
      <c r="K160" s="874"/>
      <c r="L160" s="874"/>
      <c r="M160" s="874"/>
      <c r="N160" s="874"/>
      <c r="O160" s="874"/>
      <c r="P160" s="874"/>
      <c r="Q160" s="436"/>
    </row>
    <row r="161" spans="1:17" ht="13.2" hidden="1" customHeight="1" x14ac:dyDescent="0.25">
      <c r="A161" s="408"/>
      <c r="B161" s="874"/>
      <c r="C161" s="874"/>
      <c r="D161" s="874"/>
      <c r="E161" s="874"/>
      <c r="F161" s="874"/>
      <c r="G161" s="874"/>
      <c r="H161" s="874"/>
      <c r="I161" s="874"/>
      <c r="J161" s="874"/>
      <c r="K161" s="874"/>
      <c r="L161" s="874"/>
      <c r="M161" s="874"/>
      <c r="N161" s="874"/>
      <c r="O161" s="874"/>
      <c r="P161" s="874"/>
      <c r="Q161" s="436"/>
    </row>
    <row r="162" spans="1:17" ht="13.2" hidden="1" customHeight="1" x14ac:dyDescent="0.25">
      <c r="A162" s="408"/>
      <c r="B162" s="874"/>
      <c r="C162" s="874"/>
      <c r="D162" s="874"/>
      <c r="E162" s="874"/>
      <c r="F162" s="874"/>
      <c r="G162" s="874"/>
      <c r="H162" s="874"/>
      <c r="I162" s="874"/>
      <c r="J162" s="874"/>
      <c r="K162" s="874"/>
      <c r="L162" s="874"/>
      <c r="M162" s="874"/>
      <c r="N162" s="874"/>
      <c r="O162" s="874"/>
      <c r="P162" s="874"/>
      <c r="Q162" s="436"/>
    </row>
    <row r="163" spans="1:17" ht="13.2" hidden="1" customHeight="1" x14ac:dyDescent="0.25">
      <c r="A163" s="408"/>
      <c r="B163" s="874"/>
      <c r="C163" s="874"/>
      <c r="D163" s="874"/>
      <c r="E163" s="874"/>
      <c r="F163" s="874"/>
      <c r="G163" s="874"/>
      <c r="H163" s="874"/>
      <c r="I163" s="874"/>
      <c r="J163" s="874"/>
      <c r="K163" s="874"/>
      <c r="L163" s="874"/>
      <c r="M163" s="874"/>
      <c r="N163" s="874"/>
      <c r="O163" s="874"/>
      <c r="P163" s="874"/>
      <c r="Q163" s="408"/>
    </row>
    <row r="164" spans="1:17" ht="13.2" hidden="1" customHeight="1" x14ac:dyDescent="0.25">
      <c r="A164" s="408"/>
      <c r="B164" s="874"/>
      <c r="C164" s="874"/>
      <c r="D164" s="874"/>
      <c r="E164" s="874"/>
      <c r="F164" s="874"/>
      <c r="G164" s="874"/>
      <c r="H164" s="874"/>
      <c r="I164" s="874"/>
      <c r="J164" s="874"/>
      <c r="K164" s="874"/>
      <c r="L164" s="874"/>
      <c r="M164" s="874"/>
      <c r="N164" s="874"/>
      <c r="O164" s="874"/>
      <c r="P164" s="874"/>
      <c r="Q164" s="408"/>
    </row>
    <row r="165" spans="1:17" x14ac:dyDescent="0.25">
      <c r="A165" s="408"/>
      <c r="B165" s="874"/>
      <c r="C165" s="874"/>
      <c r="D165" s="874"/>
      <c r="E165" s="874"/>
      <c r="F165" s="874"/>
      <c r="G165" s="874"/>
      <c r="H165" s="874"/>
      <c r="I165" s="874"/>
      <c r="J165" s="874"/>
      <c r="K165" s="874"/>
      <c r="L165" s="874"/>
      <c r="M165" s="874"/>
      <c r="N165" s="874"/>
      <c r="O165" s="874"/>
      <c r="P165" s="874"/>
      <c r="Q165" s="408"/>
    </row>
    <row r="166" spans="1:17" x14ac:dyDescent="0.25">
      <c r="A166" s="408"/>
      <c r="B166" s="874"/>
      <c r="C166" s="874"/>
      <c r="D166" s="874"/>
      <c r="E166" s="874"/>
      <c r="F166" s="874"/>
      <c r="G166" s="874"/>
      <c r="H166" s="874"/>
      <c r="I166" s="874"/>
      <c r="J166" s="874"/>
      <c r="K166" s="874"/>
      <c r="L166" s="874"/>
      <c r="M166" s="874"/>
      <c r="N166" s="874"/>
      <c r="O166" s="874"/>
      <c r="P166" s="874"/>
      <c r="Q166" s="408"/>
    </row>
    <row r="167" spans="1:17" x14ac:dyDescent="0.25">
      <c r="B167" s="874"/>
      <c r="C167" s="874"/>
      <c r="D167" s="874"/>
      <c r="E167" s="874"/>
      <c r="F167" s="874"/>
      <c r="G167" s="874"/>
      <c r="H167" s="874"/>
      <c r="I167" s="874"/>
      <c r="J167" s="874"/>
      <c r="K167" s="874"/>
      <c r="L167" s="874"/>
      <c r="M167" s="874"/>
      <c r="N167" s="874"/>
      <c r="O167" s="874"/>
      <c r="P167" s="874"/>
    </row>
    <row r="168" spans="1:17" x14ac:dyDescent="0.25">
      <c r="K168" s="64"/>
    </row>
    <row r="169" spans="1:17" x14ac:dyDescent="0.25">
      <c r="K169" s="64"/>
    </row>
    <row r="170" spans="1:17" x14ac:dyDescent="0.25">
      <c r="K170" s="64"/>
    </row>
    <row r="171" spans="1:17" x14ac:dyDescent="0.25">
      <c r="K171" s="64"/>
    </row>
    <row r="172" spans="1:17" x14ac:dyDescent="0.25">
      <c r="K172" s="64"/>
    </row>
    <row r="173" spans="1:17" x14ac:dyDescent="0.25">
      <c r="K173" s="64"/>
    </row>
    <row r="174" spans="1:17" x14ac:dyDescent="0.25">
      <c r="K174" s="64"/>
    </row>
    <row r="175" spans="1:17" x14ac:dyDescent="0.25">
      <c r="K175" s="64"/>
    </row>
    <row r="176" spans="1:17" x14ac:dyDescent="0.25">
      <c r="K176" s="64"/>
    </row>
    <row r="177" spans="11:11" x14ac:dyDescent="0.25">
      <c r="K177" s="64"/>
    </row>
    <row r="178" spans="11:11" x14ac:dyDescent="0.25">
      <c r="K178" s="64"/>
    </row>
    <row r="179" spans="11:11" x14ac:dyDescent="0.25">
      <c r="K179" s="64"/>
    </row>
  </sheetData>
  <mergeCells count="16">
    <mergeCell ref="N7:O7"/>
    <mergeCell ref="N9:O9"/>
    <mergeCell ref="N10:O10"/>
    <mergeCell ref="R7:S7"/>
    <mergeCell ref="K10:L10"/>
    <mergeCell ref="K9:L9"/>
    <mergeCell ref="R9:S9"/>
    <mergeCell ref="R10:S10"/>
    <mergeCell ref="B142:P167"/>
    <mergeCell ref="B141:Q141"/>
    <mergeCell ref="H9:I9"/>
    <mergeCell ref="H10:I10"/>
    <mergeCell ref="B82:O83"/>
    <mergeCell ref="B95:O98"/>
    <mergeCell ref="B134:P135"/>
    <mergeCell ref="B138:P140"/>
  </mergeCells>
  <phoneticPr fontId="4" type="noConversion"/>
  <pageMargins left="0.39370078740157483" right="0.35433070866141736" top="0.59055118110236227" bottom="0.78740157480314965" header="0.51181102362204722" footer="0.51181102362204722"/>
  <pageSetup paperSize="9" scale="53" orientation="portrait" r:id="rId1"/>
  <headerFooter alignWithMargins="0">
    <oddFooter>&amp;C&amp;F</oddFooter>
  </headerFooter>
  <customProperties>
    <customPr name="OrphanNamesChecked" r:id="rId2"/>
  </customProperties>
  <ignoredErrors>
    <ignoredError sqref="K56 K69 K71 H26 H57 H67" formula="1"/>
    <ignoredError sqref="N12 R12" formulaRange="1"/>
    <ignoredError sqref="I52 I54" evalError="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H52"/>
  <sheetViews>
    <sheetView topLeftCell="A13" zoomScaleNormal="100" workbookViewId="0">
      <selection activeCell="C32" sqref="C32"/>
    </sheetView>
  </sheetViews>
  <sheetFormatPr defaultRowHeight="13.2" x14ac:dyDescent="0.25"/>
  <cols>
    <col min="1" max="2" width="12.5546875" style="325" customWidth="1"/>
    <col min="3" max="3" width="3.5546875" style="325" customWidth="1"/>
    <col min="4" max="4" width="12.5546875" style="325" customWidth="1"/>
    <col min="5" max="5" width="3.5546875" style="325" customWidth="1"/>
    <col min="6" max="8" width="12.5546875" style="325" customWidth="1"/>
    <col min="9" max="256" width="9.109375" style="325"/>
    <col min="257" max="258" width="12.5546875" style="325" customWidth="1"/>
    <col min="259" max="259" width="3.5546875" style="325" customWidth="1"/>
    <col min="260" max="260" width="12.5546875" style="325" customWidth="1"/>
    <col min="261" max="261" width="3.5546875" style="325" customWidth="1"/>
    <col min="262" max="264" width="12.5546875" style="325" customWidth="1"/>
    <col min="265" max="512" width="9.109375" style="325"/>
    <col min="513" max="514" width="12.5546875" style="325" customWidth="1"/>
    <col min="515" max="515" width="3.5546875" style="325" customWidth="1"/>
    <col min="516" max="516" width="12.5546875" style="325" customWidth="1"/>
    <col min="517" max="517" width="3.5546875" style="325" customWidth="1"/>
    <col min="518" max="520" width="12.5546875" style="325" customWidth="1"/>
    <col min="521" max="768" width="9.109375" style="325"/>
    <col min="769" max="770" width="12.5546875" style="325" customWidth="1"/>
    <col min="771" max="771" width="3.5546875" style="325" customWidth="1"/>
    <col min="772" max="772" width="12.5546875" style="325" customWidth="1"/>
    <col min="773" max="773" width="3.5546875" style="325" customWidth="1"/>
    <col min="774" max="776" width="12.5546875" style="325" customWidth="1"/>
    <col min="777" max="1024" width="9.109375" style="325"/>
    <col min="1025" max="1026" width="12.5546875" style="325" customWidth="1"/>
    <col min="1027" max="1027" width="3.5546875" style="325" customWidth="1"/>
    <col min="1028" max="1028" width="12.5546875" style="325" customWidth="1"/>
    <col min="1029" max="1029" width="3.5546875" style="325" customWidth="1"/>
    <col min="1030" max="1032" width="12.5546875" style="325" customWidth="1"/>
    <col min="1033" max="1280" width="9.109375" style="325"/>
    <col min="1281" max="1282" width="12.5546875" style="325" customWidth="1"/>
    <col min="1283" max="1283" width="3.5546875" style="325" customWidth="1"/>
    <col min="1284" max="1284" width="12.5546875" style="325" customWidth="1"/>
    <col min="1285" max="1285" width="3.5546875" style="325" customWidth="1"/>
    <col min="1286" max="1288" width="12.5546875" style="325" customWidth="1"/>
    <col min="1289" max="1536" width="9.109375" style="325"/>
    <col min="1537" max="1538" width="12.5546875" style="325" customWidth="1"/>
    <col min="1539" max="1539" width="3.5546875" style="325" customWidth="1"/>
    <col min="1540" max="1540" width="12.5546875" style="325" customWidth="1"/>
    <col min="1541" max="1541" width="3.5546875" style="325" customWidth="1"/>
    <col min="1542" max="1544" width="12.5546875" style="325" customWidth="1"/>
    <col min="1545" max="1792" width="9.109375" style="325"/>
    <col min="1793" max="1794" width="12.5546875" style="325" customWidth="1"/>
    <col min="1795" max="1795" width="3.5546875" style="325" customWidth="1"/>
    <col min="1796" max="1796" width="12.5546875" style="325" customWidth="1"/>
    <col min="1797" max="1797" width="3.5546875" style="325" customWidth="1"/>
    <col min="1798" max="1800" width="12.5546875" style="325" customWidth="1"/>
    <col min="1801" max="2048" width="9.109375" style="325"/>
    <col min="2049" max="2050" width="12.5546875" style="325" customWidth="1"/>
    <col min="2051" max="2051" width="3.5546875" style="325" customWidth="1"/>
    <col min="2052" max="2052" width="12.5546875" style="325" customWidth="1"/>
    <col min="2053" max="2053" width="3.5546875" style="325" customWidth="1"/>
    <col min="2054" max="2056" width="12.5546875" style="325" customWidth="1"/>
    <col min="2057" max="2304" width="9.109375" style="325"/>
    <col min="2305" max="2306" width="12.5546875" style="325" customWidth="1"/>
    <col min="2307" max="2307" width="3.5546875" style="325" customWidth="1"/>
    <col min="2308" max="2308" width="12.5546875" style="325" customWidth="1"/>
    <col min="2309" max="2309" width="3.5546875" style="325" customWidth="1"/>
    <col min="2310" max="2312" width="12.5546875" style="325" customWidth="1"/>
    <col min="2313" max="2560" width="9.109375" style="325"/>
    <col min="2561" max="2562" width="12.5546875" style="325" customWidth="1"/>
    <col min="2563" max="2563" width="3.5546875" style="325" customWidth="1"/>
    <col min="2564" max="2564" width="12.5546875" style="325" customWidth="1"/>
    <col min="2565" max="2565" width="3.5546875" style="325" customWidth="1"/>
    <col min="2566" max="2568" width="12.5546875" style="325" customWidth="1"/>
    <col min="2569" max="2816" width="9.109375" style="325"/>
    <col min="2817" max="2818" width="12.5546875" style="325" customWidth="1"/>
    <col min="2819" max="2819" width="3.5546875" style="325" customWidth="1"/>
    <col min="2820" max="2820" width="12.5546875" style="325" customWidth="1"/>
    <col min="2821" max="2821" width="3.5546875" style="325" customWidth="1"/>
    <col min="2822" max="2824" width="12.5546875" style="325" customWidth="1"/>
    <col min="2825" max="3072" width="9.109375" style="325"/>
    <col min="3073" max="3074" width="12.5546875" style="325" customWidth="1"/>
    <col min="3075" max="3075" width="3.5546875" style="325" customWidth="1"/>
    <col min="3076" max="3076" width="12.5546875" style="325" customWidth="1"/>
    <col min="3077" max="3077" width="3.5546875" style="325" customWidth="1"/>
    <col min="3078" max="3080" width="12.5546875" style="325" customWidth="1"/>
    <col min="3081" max="3328" width="9.109375" style="325"/>
    <col min="3329" max="3330" width="12.5546875" style="325" customWidth="1"/>
    <col min="3331" max="3331" width="3.5546875" style="325" customWidth="1"/>
    <col min="3332" max="3332" width="12.5546875" style="325" customWidth="1"/>
    <col min="3333" max="3333" width="3.5546875" style="325" customWidth="1"/>
    <col min="3334" max="3336" width="12.5546875" style="325" customWidth="1"/>
    <col min="3337" max="3584" width="9.109375" style="325"/>
    <col min="3585" max="3586" width="12.5546875" style="325" customWidth="1"/>
    <col min="3587" max="3587" width="3.5546875" style="325" customWidth="1"/>
    <col min="3588" max="3588" width="12.5546875" style="325" customWidth="1"/>
    <col min="3589" max="3589" width="3.5546875" style="325" customWidth="1"/>
    <col min="3590" max="3592" width="12.5546875" style="325" customWidth="1"/>
    <col min="3593" max="3840" width="9.109375" style="325"/>
    <col min="3841" max="3842" width="12.5546875" style="325" customWidth="1"/>
    <col min="3843" max="3843" width="3.5546875" style="325" customWidth="1"/>
    <col min="3844" max="3844" width="12.5546875" style="325" customWidth="1"/>
    <col min="3845" max="3845" width="3.5546875" style="325" customWidth="1"/>
    <col min="3846" max="3848" width="12.5546875" style="325" customWidth="1"/>
    <col min="3849" max="4096" width="9.109375" style="325"/>
    <col min="4097" max="4098" width="12.5546875" style="325" customWidth="1"/>
    <col min="4099" max="4099" width="3.5546875" style="325" customWidth="1"/>
    <col min="4100" max="4100" width="12.5546875" style="325" customWidth="1"/>
    <col min="4101" max="4101" width="3.5546875" style="325" customWidth="1"/>
    <col min="4102" max="4104" width="12.5546875" style="325" customWidth="1"/>
    <col min="4105" max="4352" width="9.109375" style="325"/>
    <col min="4353" max="4354" width="12.5546875" style="325" customWidth="1"/>
    <col min="4355" max="4355" width="3.5546875" style="325" customWidth="1"/>
    <col min="4356" max="4356" width="12.5546875" style="325" customWidth="1"/>
    <col min="4357" max="4357" width="3.5546875" style="325" customWidth="1"/>
    <col min="4358" max="4360" width="12.5546875" style="325" customWidth="1"/>
    <col min="4361" max="4608" width="9.109375" style="325"/>
    <col min="4609" max="4610" width="12.5546875" style="325" customWidth="1"/>
    <col min="4611" max="4611" width="3.5546875" style="325" customWidth="1"/>
    <col min="4612" max="4612" width="12.5546875" style="325" customWidth="1"/>
    <col min="4613" max="4613" width="3.5546875" style="325" customWidth="1"/>
    <col min="4614" max="4616" width="12.5546875" style="325" customWidth="1"/>
    <col min="4617" max="4864" width="9.109375" style="325"/>
    <col min="4865" max="4866" width="12.5546875" style="325" customWidth="1"/>
    <col min="4867" max="4867" width="3.5546875" style="325" customWidth="1"/>
    <col min="4868" max="4868" width="12.5546875" style="325" customWidth="1"/>
    <col min="4869" max="4869" width="3.5546875" style="325" customWidth="1"/>
    <col min="4870" max="4872" width="12.5546875" style="325" customWidth="1"/>
    <col min="4873" max="5120" width="9.109375" style="325"/>
    <col min="5121" max="5122" width="12.5546875" style="325" customWidth="1"/>
    <col min="5123" max="5123" width="3.5546875" style="325" customWidth="1"/>
    <col min="5124" max="5124" width="12.5546875" style="325" customWidth="1"/>
    <col min="5125" max="5125" width="3.5546875" style="325" customWidth="1"/>
    <col min="5126" max="5128" width="12.5546875" style="325" customWidth="1"/>
    <col min="5129" max="5376" width="9.109375" style="325"/>
    <col min="5377" max="5378" width="12.5546875" style="325" customWidth="1"/>
    <col min="5379" max="5379" width="3.5546875" style="325" customWidth="1"/>
    <col min="5380" max="5380" width="12.5546875" style="325" customWidth="1"/>
    <col min="5381" max="5381" width="3.5546875" style="325" customWidth="1"/>
    <col min="5382" max="5384" width="12.5546875" style="325" customWidth="1"/>
    <col min="5385" max="5632" width="9.109375" style="325"/>
    <col min="5633" max="5634" width="12.5546875" style="325" customWidth="1"/>
    <col min="5635" max="5635" width="3.5546875" style="325" customWidth="1"/>
    <col min="5636" max="5636" width="12.5546875" style="325" customWidth="1"/>
    <col min="5637" max="5637" width="3.5546875" style="325" customWidth="1"/>
    <col min="5638" max="5640" width="12.5546875" style="325" customWidth="1"/>
    <col min="5641" max="5888" width="9.109375" style="325"/>
    <col min="5889" max="5890" width="12.5546875" style="325" customWidth="1"/>
    <col min="5891" max="5891" width="3.5546875" style="325" customWidth="1"/>
    <col min="5892" max="5892" width="12.5546875" style="325" customWidth="1"/>
    <col min="5893" max="5893" width="3.5546875" style="325" customWidth="1"/>
    <col min="5894" max="5896" width="12.5546875" style="325" customWidth="1"/>
    <col min="5897" max="6144" width="9.109375" style="325"/>
    <col min="6145" max="6146" width="12.5546875" style="325" customWidth="1"/>
    <col min="6147" max="6147" width="3.5546875" style="325" customWidth="1"/>
    <col min="6148" max="6148" width="12.5546875" style="325" customWidth="1"/>
    <col min="6149" max="6149" width="3.5546875" style="325" customWidth="1"/>
    <col min="6150" max="6152" width="12.5546875" style="325" customWidth="1"/>
    <col min="6153" max="6400" width="9.109375" style="325"/>
    <col min="6401" max="6402" width="12.5546875" style="325" customWidth="1"/>
    <col min="6403" max="6403" width="3.5546875" style="325" customWidth="1"/>
    <col min="6404" max="6404" width="12.5546875" style="325" customWidth="1"/>
    <col min="6405" max="6405" width="3.5546875" style="325" customWidth="1"/>
    <col min="6406" max="6408" width="12.5546875" style="325" customWidth="1"/>
    <col min="6409" max="6656" width="9.109375" style="325"/>
    <col min="6657" max="6658" width="12.5546875" style="325" customWidth="1"/>
    <col min="6659" max="6659" width="3.5546875" style="325" customWidth="1"/>
    <col min="6660" max="6660" width="12.5546875" style="325" customWidth="1"/>
    <col min="6661" max="6661" width="3.5546875" style="325" customWidth="1"/>
    <col min="6662" max="6664" width="12.5546875" style="325" customWidth="1"/>
    <col min="6665" max="6912" width="9.109375" style="325"/>
    <col min="6913" max="6914" width="12.5546875" style="325" customWidth="1"/>
    <col min="6915" max="6915" width="3.5546875" style="325" customWidth="1"/>
    <col min="6916" max="6916" width="12.5546875" style="325" customWidth="1"/>
    <col min="6917" max="6917" width="3.5546875" style="325" customWidth="1"/>
    <col min="6918" max="6920" width="12.5546875" style="325" customWidth="1"/>
    <col min="6921" max="7168" width="9.109375" style="325"/>
    <col min="7169" max="7170" width="12.5546875" style="325" customWidth="1"/>
    <col min="7171" max="7171" width="3.5546875" style="325" customWidth="1"/>
    <col min="7172" max="7172" width="12.5546875" style="325" customWidth="1"/>
    <col min="7173" max="7173" width="3.5546875" style="325" customWidth="1"/>
    <col min="7174" max="7176" width="12.5546875" style="325" customWidth="1"/>
    <col min="7177" max="7424" width="9.109375" style="325"/>
    <col min="7425" max="7426" width="12.5546875" style="325" customWidth="1"/>
    <col min="7427" max="7427" width="3.5546875" style="325" customWidth="1"/>
    <col min="7428" max="7428" width="12.5546875" style="325" customWidth="1"/>
    <col min="7429" max="7429" width="3.5546875" style="325" customWidth="1"/>
    <col min="7430" max="7432" width="12.5546875" style="325" customWidth="1"/>
    <col min="7433" max="7680" width="9.109375" style="325"/>
    <col min="7681" max="7682" width="12.5546875" style="325" customWidth="1"/>
    <col min="7683" max="7683" width="3.5546875" style="325" customWidth="1"/>
    <col min="7684" max="7684" width="12.5546875" style="325" customWidth="1"/>
    <col min="7685" max="7685" width="3.5546875" style="325" customWidth="1"/>
    <col min="7686" max="7688" width="12.5546875" style="325" customWidth="1"/>
    <col min="7689" max="7936" width="9.109375" style="325"/>
    <col min="7937" max="7938" width="12.5546875" style="325" customWidth="1"/>
    <col min="7939" max="7939" width="3.5546875" style="325" customWidth="1"/>
    <col min="7940" max="7940" width="12.5546875" style="325" customWidth="1"/>
    <col min="7941" max="7941" width="3.5546875" style="325" customWidth="1"/>
    <col min="7942" max="7944" width="12.5546875" style="325" customWidth="1"/>
    <col min="7945" max="8192" width="9.109375" style="325"/>
    <col min="8193" max="8194" width="12.5546875" style="325" customWidth="1"/>
    <col min="8195" max="8195" width="3.5546875" style="325" customWidth="1"/>
    <col min="8196" max="8196" width="12.5546875" style="325" customWidth="1"/>
    <col min="8197" max="8197" width="3.5546875" style="325" customWidth="1"/>
    <col min="8198" max="8200" width="12.5546875" style="325" customWidth="1"/>
    <col min="8201" max="8448" width="9.109375" style="325"/>
    <col min="8449" max="8450" width="12.5546875" style="325" customWidth="1"/>
    <col min="8451" max="8451" width="3.5546875" style="325" customWidth="1"/>
    <col min="8452" max="8452" width="12.5546875" style="325" customWidth="1"/>
    <col min="8453" max="8453" width="3.5546875" style="325" customWidth="1"/>
    <col min="8454" max="8456" width="12.5546875" style="325" customWidth="1"/>
    <col min="8457" max="8704" width="9.109375" style="325"/>
    <col min="8705" max="8706" width="12.5546875" style="325" customWidth="1"/>
    <col min="8707" max="8707" width="3.5546875" style="325" customWidth="1"/>
    <col min="8708" max="8708" width="12.5546875" style="325" customWidth="1"/>
    <col min="8709" max="8709" width="3.5546875" style="325" customWidth="1"/>
    <col min="8710" max="8712" width="12.5546875" style="325" customWidth="1"/>
    <col min="8713" max="8960" width="9.109375" style="325"/>
    <col min="8961" max="8962" width="12.5546875" style="325" customWidth="1"/>
    <col min="8963" max="8963" width="3.5546875" style="325" customWidth="1"/>
    <col min="8964" max="8964" width="12.5546875" style="325" customWidth="1"/>
    <col min="8965" max="8965" width="3.5546875" style="325" customWidth="1"/>
    <col min="8966" max="8968" width="12.5546875" style="325" customWidth="1"/>
    <col min="8969" max="9216" width="9.109375" style="325"/>
    <col min="9217" max="9218" width="12.5546875" style="325" customWidth="1"/>
    <col min="9219" max="9219" width="3.5546875" style="325" customWidth="1"/>
    <col min="9220" max="9220" width="12.5546875" style="325" customWidth="1"/>
    <col min="9221" max="9221" width="3.5546875" style="325" customWidth="1"/>
    <col min="9222" max="9224" width="12.5546875" style="325" customWidth="1"/>
    <col min="9225" max="9472" width="9.109375" style="325"/>
    <col min="9473" max="9474" width="12.5546875" style="325" customWidth="1"/>
    <col min="9475" max="9475" width="3.5546875" style="325" customWidth="1"/>
    <col min="9476" max="9476" width="12.5546875" style="325" customWidth="1"/>
    <col min="9477" max="9477" width="3.5546875" style="325" customWidth="1"/>
    <col min="9478" max="9480" width="12.5546875" style="325" customWidth="1"/>
    <col min="9481" max="9728" width="9.109375" style="325"/>
    <col min="9729" max="9730" width="12.5546875" style="325" customWidth="1"/>
    <col min="9731" max="9731" width="3.5546875" style="325" customWidth="1"/>
    <col min="9732" max="9732" width="12.5546875" style="325" customWidth="1"/>
    <col min="9733" max="9733" width="3.5546875" style="325" customWidth="1"/>
    <col min="9734" max="9736" width="12.5546875" style="325" customWidth="1"/>
    <col min="9737" max="9984" width="9.109375" style="325"/>
    <col min="9985" max="9986" width="12.5546875" style="325" customWidth="1"/>
    <col min="9987" max="9987" width="3.5546875" style="325" customWidth="1"/>
    <col min="9988" max="9988" width="12.5546875" style="325" customWidth="1"/>
    <col min="9989" max="9989" width="3.5546875" style="325" customWidth="1"/>
    <col min="9990" max="9992" width="12.5546875" style="325" customWidth="1"/>
    <col min="9993" max="10240" width="9.109375" style="325"/>
    <col min="10241" max="10242" width="12.5546875" style="325" customWidth="1"/>
    <col min="10243" max="10243" width="3.5546875" style="325" customWidth="1"/>
    <col min="10244" max="10244" width="12.5546875" style="325" customWidth="1"/>
    <col min="10245" max="10245" width="3.5546875" style="325" customWidth="1"/>
    <col min="10246" max="10248" width="12.5546875" style="325" customWidth="1"/>
    <col min="10249" max="10496" width="9.109375" style="325"/>
    <col min="10497" max="10498" width="12.5546875" style="325" customWidth="1"/>
    <col min="10499" max="10499" width="3.5546875" style="325" customWidth="1"/>
    <col min="10500" max="10500" width="12.5546875" style="325" customWidth="1"/>
    <col min="10501" max="10501" width="3.5546875" style="325" customWidth="1"/>
    <col min="10502" max="10504" width="12.5546875" style="325" customWidth="1"/>
    <col min="10505" max="10752" width="9.109375" style="325"/>
    <col min="10753" max="10754" width="12.5546875" style="325" customWidth="1"/>
    <col min="10755" max="10755" width="3.5546875" style="325" customWidth="1"/>
    <col min="10756" max="10756" width="12.5546875" style="325" customWidth="1"/>
    <col min="10757" max="10757" width="3.5546875" style="325" customWidth="1"/>
    <col min="10758" max="10760" width="12.5546875" style="325" customWidth="1"/>
    <col min="10761" max="11008" width="9.109375" style="325"/>
    <col min="11009" max="11010" width="12.5546875" style="325" customWidth="1"/>
    <col min="11011" max="11011" width="3.5546875" style="325" customWidth="1"/>
    <col min="11012" max="11012" width="12.5546875" style="325" customWidth="1"/>
    <col min="11013" max="11013" width="3.5546875" style="325" customWidth="1"/>
    <col min="11014" max="11016" width="12.5546875" style="325" customWidth="1"/>
    <col min="11017" max="11264" width="9.109375" style="325"/>
    <col min="11265" max="11266" width="12.5546875" style="325" customWidth="1"/>
    <col min="11267" max="11267" width="3.5546875" style="325" customWidth="1"/>
    <col min="11268" max="11268" width="12.5546875" style="325" customWidth="1"/>
    <col min="11269" max="11269" width="3.5546875" style="325" customWidth="1"/>
    <col min="11270" max="11272" width="12.5546875" style="325" customWidth="1"/>
    <col min="11273" max="11520" width="9.109375" style="325"/>
    <col min="11521" max="11522" width="12.5546875" style="325" customWidth="1"/>
    <col min="11523" max="11523" width="3.5546875" style="325" customWidth="1"/>
    <col min="11524" max="11524" width="12.5546875" style="325" customWidth="1"/>
    <col min="11525" max="11525" width="3.5546875" style="325" customWidth="1"/>
    <col min="11526" max="11528" width="12.5546875" style="325" customWidth="1"/>
    <col min="11529" max="11776" width="9.109375" style="325"/>
    <col min="11777" max="11778" width="12.5546875" style="325" customWidth="1"/>
    <col min="11779" max="11779" width="3.5546875" style="325" customWidth="1"/>
    <col min="11780" max="11780" width="12.5546875" style="325" customWidth="1"/>
    <col min="11781" max="11781" width="3.5546875" style="325" customWidth="1"/>
    <col min="11782" max="11784" width="12.5546875" style="325" customWidth="1"/>
    <col min="11785" max="12032" width="9.109375" style="325"/>
    <col min="12033" max="12034" width="12.5546875" style="325" customWidth="1"/>
    <col min="12035" max="12035" width="3.5546875" style="325" customWidth="1"/>
    <col min="12036" max="12036" width="12.5546875" style="325" customWidth="1"/>
    <col min="12037" max="12037" width="3.5546875" style="325" customWidth="1"/>
    <col min="12038" max="12040" width="12.5546875" style="325" customWidth="1"/>
    <col min="12041" max="12288" width="9.109375" style="325"/>
    <col min="12289" max="12290" width="12.5546875" style="325" customWidth="1"/>
    <col min="12291" max="12291" width="3.5546875" style="325" customWidth="1"/>
    <col min="12292" max="12292" width="12.5546875" style="325" customWidth="1"/>
    <col min="12293" max="12293" width="3.5546875" style="325" customWidth="1"/>
    <col min="12294" max="12296" width="12.5546875" style="325" customWidth="1"/>
    <col min="12297" max="12544" width="9.109375" style="325"/>
    <col min="12545" max="12546" width="12.5546875" style="325" customWidth="1"/>
    <col min="12547" max="12547" width="3.5546875" style="325" customWidth="1"/>
    <col min="12548" max="12548" width="12.5546875" style="325" customWidth="1"/>
    <col min="12549" max="12549" width="3.5546875" style="325" customWidth="1"/>
    <col min="12550" max="12552" width="12.5546875" style="325" customWidth="1"/>
    <col min="12553" max="12800" width="9.109375" style="325"/>
    <col min="12801" max="12802" width="12.5546875" style="325" customWidth="1"/>
    <col min="12803" max="12803" width="3.5546875" style="325" customWidth="1"/>
    <col min="12804" max="12804" width="12.5546875" style="325" customWidth="1"/>
    <col min="12805" max="12805" width="3.5546875" style="325" customWidth="1"/>
    <col min="12806" max="12808" width="12.5546875" style="325" customWidth="1"/>
    <col min="12809" max="13056" width="9.109375" style="325"/>
    <col min="13057" max="13058" width="12.5546875" style="325" customWidth="1"/>
    <col min="13059" max="13059" width="3.5546875" style="325" customWidth="1"/>
    <col min="13060" max="13060" width="12.5546875" style="325" customWidth="1"/>
    <col min="13061" max="13061" width="3.5546875" style="325" customWidth="1"/>
    <col min="13062" max="13064" width="12.5546875" style="325" customWidth="1"/>
    <col min="13065" max="13312" width="9.109375" style="325"/>
    <col min="13313" max="13314" width="12.5546875" style="325" customWidth="1"/>
    <col min="13315" max="13315" width="3.5546875" style="325" customWidth="1"/>
    <col min="13316" max="13316" width="12.5546875" style="325" customWidth="1"/>
    <col min="13317" max="13317" width="3.5546875" style="325" customWidth="1"/>
    <col min="13318" max="13320" width="12.5546875" style="325" customWidth="1"/>
    <col min="13321" max="13568" width="9.109375" style="325"/>
    <col min="13569" max="13570" width="12.5546875" style="325" customWidth="1"/>
    <col min="13571" max="13571" width="3.5546875" style="325" customWidth="1"/>
    <col min="13572" max="13572" width="12.5546875" style="325" customWidth="1"/>
    <col min="13573" max="13573" width="3.5546875" style="325" customWidth="1"/>
    <col min="13574" max="13576" width="12.5546875" style="325" customWidth="1"/>
    <col min="13577" max="13824" width="9.109375" style="325"/>
    <col min="13825" max="13826" width="12.5546875" style="325" customWidth="1"/>
    <col min="13827" max="13827" width="3.5546875" style="325" customWidth="1"/>
    <col min="13828" max="13828" width="12.5546875" style="325" customWidth="1"/>
    <col min="13829" max="13829" width="3.5546875" style="325" customWidth="1"/>
    <col min="13830" max="13832" width="12.5546875" style="325" customWidth="1"/>
    <col min="13833" max="14080" width="9.109375" style="325"/>
    <col min="14081" max="14082" width="12.5546875" style="325" customWidth="1"/>
    <col min="14083" max="14083" width="3.5546875" style="325" customWidth="1"/>
    <col min="14084" max="14084" width="12.5546875" style="325" customWidth="1"/>
    <col min="14085" max="14085" width="3.5546875" style="325" customWidth="1"/>
    <col min="14086" max="14088" width="12.5546875" style="325" customWidth="1"/>
    <col min="14089" max="14336" width="9.109375" style="325"/>
    <col min="14337" max="14338" width="12.5546875" style="325" customWidth="1"/>
    <col min="14339" max="14339" width="3.5546875" style="325" customWidth="1"/>
    <col min="14340" max="14340" width="12.5546875" style="325" customWidth="1"/>
    <col min="14341" max="14341" width="3.5546875" style="325" customWidth="1"/>
    <col min="14342" max="14344" width="12.5546875" style="325" customWidth="1"/>
    <col min="14345" max="14592" width="9.109375" style="325"/>
    <col min="14593" max="14594" width="12.5546875" style="325" customWidth="1"/>
    <col min="14595" max="14595" width="3.5546875" style="325" customWidth="1"/>
    <col min="14596" max="14596" width="12.5546875" style="325" customWidth="1"/>
    <col min="14597" max="14597" width="3.5546875" style="325" customWidth="1"/>
    <col min="14598" max="14600" width="12.5546875" style="325" customWidth="1"/>
    <col min="14601" max="14848" width="9.109375" style="325"/>
    <col min="14849" max="14850" width="12.5546875" style="325" customWidth="1"/>
    <col min="14851" max="14851" width="3.5546875" style="325" customWidth="1"/>
    <col min="14852" max="14852" width="12.5546875" style="325" customWidth="1"/>
    <col min="14853" max="14853" width="3.5546875" style="325" customWidth="1"/>
    <col min="14854" max="14856" width="12.5546875" style="325" customWidth="1"/>
    <col min="14857" max="15104" width="9.109375" style="325"/>
    <col min="15105" max="15106" width="12.5546875" style="325" customWidth="1"/>
    <col min="15107" max="15107" width="3.5546875" style="325" customWidth="1"/>
    <col min="15108" max="15108" width="12.5546875" style="325" customWidth="1"/>
    <col min="15109" max="15109" width="3.5546875" style="325" customWidth="1"/>
    <col min="15110" max="15112" width="12.5546875" style="325" customWidth="1"/>
    <col min="15113" max="15360" width="9.109375" style="325"/>
    <col min="15361" max="15362" width="12.5546875" style="325" customWidth="1"/>
    <col min="15363" max="15363" width="3.5546875" style="325" customWidth="1"/>
    <col min="15364" max="15364" width="12.5546875" style="325" customWidth="1"/>
    <col min="15365" max="15365" width="3.5546875" style="325" customWidth="1"/>
    <col min="15366" max="15368" width="12.5546875" style="325" customWidth="1"/>
    <col min="15369" max="15616" width="9.109375" style="325"/>
    <col min="15617" max="15618" width="12.5546875" style="325" customWidth="1"/>
    <col min="15619" max="15619" width="3.5546875" style="325" customWidth="1"/>
    <col min="15620" max="15620" width="12.5546875" style="325" customWidth="1"/>
    <col min="15621" max="15621" width="3.5546875" style="325" customWidth="1"/>
    <col min="15622" max="15624" width="12.5546875" style="325" customWidth="1"/>
    <col min="15625" max="15872" width="9.109375" style="325"/>
    <col min="15873" max="15874" width="12.5546875" style="325" customWidth="1"/>
    <col min="15875" max="15875" width="3.5546875" style="325" customWidth="1"/>
    <col min="15876" max="15876" width="12.5546875" style="325" customWidth="1"/>
    <col min="15877" max="15877" width="3.5546875" style="325" customWidth="1"/>
    <col min="15878" max="15880" width="12.5546875" style="325" customWidth="1"/>
    <col min="15881" max="16128" width="9.109375" style="325"/>
    <col min="16129" max="16130" width="12.5546875" style="325" customWidth="1"/>
    <col min="16131" max="16131" width="3.5546875" style="325" customWidth="1"/>
    <col min="16132" max="16132" width="12.5546875" style="325" customWidth="1"/>
    <col min="16133" max="16133" width="3.5546875" style="325" customWidth="1"/>
    <col min="16134" max="16136" width="12.5546875" style="325" customWidth="1"/>
    <col min="16137" max="16384" width="9.109375" style="325"/>
  </cols>
  <sheetData>
    <row r="1" spans="1:3" x14ac:dyDescent="0.25">
      <c r="A1" s="324" t="str">
        <f>'Gecorrigeerde vrije cash flow'!B1</f>
        <v>[NAAM VENNOOTSCHAP]</v>
      </c>
    </row>
    <row r="2" spans="1:3" x14ac:dyDescent="0.25">
      <c r="A2" s="324"/>
    </row>
    <row r="3" spans="1:3" x14ac:dyDescent="0.25">
      <c r="A3" s="326"/>
    </row>
    <row r="4" spans="1:3" x14ac:dyDescent="0.25">
      <c r="A4" s="324" t="s">
        <v>304</v>
      </c>
    </row>
    <row r="7" spans="1:3" x14ac:dyDescent="0.25">
      <c r="A7" s="327" t="s">
        <v>305</v>
      </c>
    </row>
    <row r="9" spans="1:3" x14ac:dyDescent="0.25">
      <c r="A9" s="325" t="s">
        <v>306</v>
      </c>
      <c r="C9" s="325" t="s">
        <v>307</v>
      </c>
    </row>
    <row r="10" spans="1:3" x14ac:dyDescent="0.25">
      <c r="C10" s="328" t="s">
        <v>308</v>
      </c>
    </row>
    <row r="11" spans="1:3" x14ac:dyDescent="0.25">
      <c r="A11" s="325" t="s">
        <v>309</v>
      </c>
      <c r="C11" s="325" t="s">
        <v>310</v>
      </c>
    </row>
    <row r="12" spans="1:3" x14ac:dyDescent="0.25">
      <c r="C12" s="328" t="s">
        <v>311</v>
      </c>
    </row>
    <row r="13" spans="1:3" x14ac:dyDescent="0.25">
      <c r="A13" s="325" t="s">
        <v>312</v>
      </c>
      <c r="C13" s="329" t="s">
        <v>313</v>
      </c>
    </row>
    <row r="14" spans="1:3" x14ac:dyDescent="0.25">
      <c r="A14" s="325" t="s">
        <v>314</v>
      </c>
      <c r="C14" s="330" t="s">
        <v>315</v>
      </c>
    </row>
    <row r="16" spans="1:3" x14ac:dyDescent="0.25">
      <c r="A16" s="327" t="s">
        <v>316</v>
      </c>
    </row>
    <row r="18" spans="1:8" s="326" customFormat="1" x14ac:dyDescent="0.25">
      <c r="A18" s="884" t="s">
        <v>317</v>
      </c>
      <c r="B18" s="884"/>
      <c r="C18" s="331"/>
      <c r="D18" s="331" t="s">
        <v>318</v>
      </c>
      <c r="E18" s="331"/>
      <c r="F18" s="884" t="s">
        <v>319</v>
      </c>
      <c r="G18" s="884"/>
      <c r="H18" s="884"/>
    </row>
    <row r="19" spans="1:8" x14ac:dyDescent="0.25">
      <c r="A19" s="332"/>
      <c r="B19" s="332"/>
      <c r="C19" s="332"/>
      <c r="D19" s="333"/>
      <c r="E19" s="332"/>
      <c r="F19" s="331" t="s">
        <v>72</v>
      </c>
      <c r="G19" s="331" t="s">
        <v>320</v>
      </c>
      <c r="H19" s="331" t="s">
        <v>321</v>
      </c>
    </row>
    <row r="20" spans="1:8" x14ac:dyDescent="0.25">
      <c r="D20" s="334"/>
      <c r="F20" s="331"/>
      <c r="G20" s="331"/>
      <c r="H20" s="331"/>
    </row>
    <row r="21" spans="1:8" x14ac:dyDescent="0.25">
      <c r="A21" s="332">
        <v>24</v>
      </c>
      <c r="B21" s="332">
        <v>2001</v>
      </c>
      <c r="D21" s="335">
        <v>2.47E-2</v>
      </c>
      <c r="E21" s="332"/>
      <c r="F21" s="335">
        <v>5.1100000000000007E-2</v>
      </c>
      <c r="G21" s="335">
        <v>5.5999999999999994E-2</v>
      </c>
      <c r="H21" s="335">
        <v>5.6800000000000003E-2</v>
      </c>
    </row>
    <row r="22" spans="1:8" x14ac:dyDescent="0.25">
      <c r="A22" s="332">
        <v>23</v>
      </c>
      <c r="B22" s="332">
        <v>2002</v>
      </c>
      <c r="D22" s="335">
        <v>1.6500000000000001E-2</v>
      </c>
      <c r="E22" s="332"/>
      <c r="F22" s="335">
        <v>4.9800000000000004E-2</v>
      </c>
      <c r="G22" s="335">
        <v>5.3499999999999999E-2</v>
      </c>
      <c r="H22" s="335">
        <v>5.3800000000000001E-2</v>
      </c>
    </row>
    <row r="23" spans="1:8" x14ac:dyDescent="0.25">
      <c r="A23" s="332">
        <v>22</v>
      </c>
      <c r="B23" s="332">
        <v>2003</v>
      </c>
      <c r="D23" s="335">
        <v>1.5900000000000001E-2</v>
      </c>
      <c r="E23" s="332"/>
      <c r="F23" s="335">
        <v>4.1700000000000001E-2</v>
      </c>
      <c r="G23" s="335">
        <v>4.7899999999999998E-2</v>
      </c>
      <c r="H23" s="335"/>
    </row>
    <row r="24" spans="1:8" x14ac:dyDescent="0.25">
      <c r="A24" s="332">
        <v>21</v>
      </c>
      <c r="B24" s="332">
        <v>2004</v>
      </c>
      <c r="D24" s="335">
        <v>2.1000000000000001E-2</v>
      </c>
      <c r="E24" s="332"/>
      <c r="F24" s="335">
        <v>4.1299999999999996E-2</v>
      </c>
      <c r="G24" s="335">
        <v>4.6399999999999997E-2</v>
      </c>
      <c r="H24" s="335"/>
    </row>
    <row r="25" spans="1:8" x14ac:dyDescent="0.25">
      <c r="A25" s="332">
        <v>20</v>
      </c>
      <c r="B25" s="332">
        <v>2005</v>
      </c>
      <c r="D25" s="335">
        <v>2.7799999999999998E-2</v>
      </c>
      <c r="E25" s="332"/>
      <c r="F25" s="335">
        <v>3.4200000000000001E-2</v>
      </c>
      <c r="G25" s="335">
        <v>3.7400000000000003E-2</v>
      </c>
      <c r="H25" s="335">
        <v>3.9E-2</v>
      </c>
    </row>
    <row r="26" spans="1:8" x14ac:dyDescent="0.25">
      <c r="A26" s="332">
        <v>19</v>
      </c>
      <c r="B26" s="332">
        <v>2006</v>
      </c>
      <c r="D26" s="335">
        <v>1.7899999999999999E-2</v>
      </c>
      <c r="E26" s="332"/>
      <c r="F26" s="335">
        <v>3.7999999999999999E-2</v>
      </c>
      <c r="G26" s="335">
        <v>3.9900000000000005E-2</v>
      </c>
      <c r="H26" s="335">
        <v>4.0599999999999997E-2</v>
      </c>
    </row>
    <row r="27" spans="1:8" x14ac:dyDescent="0.25">
      <c r="A27" s="332">
        <v>18</v>
      </c>
      <c r="B27" s="332">
        <v>2007</v>
      </c>
      <c r="D27" s="335">
        <v>1.8200000000000001E-2</v>
      </c>
      <c r="E27" s="332"/>
      <c r="F27" s="335">
        <v>4.3499999999999997E-2</v>
      </c>
      <c r="G27" s="335">
        <v>4.4900000000000002E-2</v>
      </c>
      <c r="H27" s="335">
        <v>4.53E-2</v>
      </c>
    </row>
    <row r="28" spans="1:8" x14ac:dyDescent="0.25">
      <c r="A28" s="332">
        <v>17</v>
      </c>
      <c r="B28" s="332">
        <v>2008</v>
      </c>
      <c r="D28" s="335">
        <v>4.4900000000000002E-2</v>
      </c>
      <c r="E28" s="332"/>
      <c r="F28" s="335">
        <v>4.4400000000000002E-2</v>
      </c>
      <c r="G28" s="335">
        <v>4.7300000000000002E-2</v>
      </c>
      <c r="H28" s="335">
        <v>4.7600000000000003E-2</v>
      </c>
    </row>
    <row r="29" spans="1:8" x14ac:dyDescent="0.25">
      <c r="A29" s="332">
        <v>16</v>
      </c>
      <c r="B29" s="332">
        <v>2009</v>
      </c>
      <c r="D29" s="335">
        <v>-4.0000000000000002E-4</v>
      </c>
      <c r="E29" s="332"/>
      <c r="F29" s="335">
        <v>3.9399999999999998E-2</v>
      </c>
      <c r="G29" s="335">
        <v>4.4600000000000001E-2</v>
      </c>
      <c r="H29" s="335">
        <v>4.53E-2</v>
      </c>
    </row>
    <row r="30" spans="1:8" x14ac:dyDescent="0.25">
      <c r="A30" s="332">
        <v>15</v>
      </c>
      <c r="B30" s="332">
        <v>2010</v>
      </c>
      <c r="D30" s="335">
        <v>2.1899999999999999E-2</v>
      </c>
      <c r="E30" s="332"/>
      <c r="F30" s="335">
        <v>3.44E-2</v>
      </c>
      <c r="G30" s="335">
        <v>3.95E-2</v>
      </c>
      <c r="H30" s="335">
        <v>4.0899999999999999E-2</v>
      </c>
    </row>
    <row r="31" spans="1:8" x14ac:dyDescent="0.25">
      <c r="A31" s="332">
        <v>14</v>
      </c>
      <c r="B31" s="332">
        <v>2011</v>
      </c>
      <c r="D31" s="335">
        <v>3.5299999999999998E-2</v>
      </c>
      <c r="E31" s="332"/>
      <c r="F31" s="335">
        <v>4.2000000000000003E-2</v>
      </c>
      <c r="G31" s="335">
        <v>4.58E-2</v>
      </c>
      <c r="H31" s="335">
        <v>4.6699999999999998E-2</v>
      </c>
    </row>
    <row r="32" spans="1:8" x14ac:dyDescent="0.25">
      <c r="A32" s="332">
        <v>13</v>
      </c>
      <c r="B32" s="332">
        <v>2012</v>
      </c>
      <c r="D32" s="335">
        <v>2.8400000000000002E-2</v>
      </c>
      <c r="E32" s="332"/>
      <c r="F32" s="335">
        <v>2.98E-2</v>
      </c>
      <c r="G32" s="335">
        <v>3.5799999999999998E-2</v>
      </c>
      <c r="H32" s="335">
        <v>3.6600000000000001E-2</v>
      </c>
    </row>
    <row r="33" spans="1:8" x14ac:dyDescent="0.25">
      <c r="A33" s="332">
        <v>12</v>
      </c>
      <c r="B33" s="332">
        <v>2013</v>
      </c>
      <c r="D33" s="335">
        <v>1.11E-2</v>
      </c>
      <c r="E33" s="332"/>
      <c r="F33" s="335">
        <v>2.4300000000000002E-2</v>
      </c>
      <c r="G33" s="335">
        <v>3.1800000000000002E-2</v>
      </c>
      <c r="H33" s="335">
        <v>3.3700000000000001E-2</v>
      </c>
    </row>
    <row r="34" spans="1:8" x14ac:dyDescent="0.25">
      <c r="A34" s="332">
        <v>11</v>
      </c>
      <c r="B34" s="332">
        <v>2014</v>
      </c>
      <c r="D34" s="335">
        <v>3.3999999999999998E-3</v>
      </c>
      <c r="E34" s="332"/>
      <c r="F34" s="335">
        <v>1.72E-2</v>
      </c>
      <c r="G34" s="335">
        <v>2.4700000000000003E-2</v>
      </c>
      <c r="H34" s="335">
        <v>2.75E-2</v>
      </c>
    </row>
    <row r="35" spans="1:8" x14ac:dyDescent="0.25">
      <c r="A35" s="332">
        <v>10</v>
      </c>
      <c r="B35" s="332">
        <v>2015</v>
      </c>
      <c r="D35" s="335">
        <v>5.5999999999999999E-3</v>
      </c>
      <c r="E35" s="332"/>
      <c r="F35" s="335">
        <v>8.6E-3</v>
      </c>
      <c r="G35" s="335">
        <v>1.52E-2</v>
      </c>
      <c r="H35" s="335">
        <v>1.6899999999999998E-2</v>
      </c>
    </row>
    <row r="36" spans="1:8" x14ac:dyDescent="0.25">
      <c r="A36" s="332">
        <v>9</v>
      </c>
      <c r="B36" s="332">
        <v>2016</v>
      </c>
      <c r="D36" s="335">
        <v>1.9699999999999999E-2</v>
      </c>
      <c r="E36" s="332"/>
      <c r="F36" s="335">
        <v>4.8999999999999998E-3</v>
      </c>
      <c r="G36" s="335">
        <v>1.1399999999999999E-2</v>
      </c>
      <c r="H36" s="335">
        <v>1.4200000000000001E-2</v>
      </c>
    </row>
    <row r="37" spans="1:8" x14ac:dyDescent="0.25">
      <c r="A37" s="332">
        <v>8</v>
      </c>
      <c r="B37" s="332">
        <v>2017</v>
      </c>
      <c r="D37" s="335">
        <v>2.1299999999999999E-2</v>
      </c>
      <c r="E37" s="332"/>
      <c r="F37" s="335">
        <v>7.4000000000000003E-3</v>
      </c>
      <c r="G37" s="335">
        <v>1.3600000000000001E-2</v>
      </c>
      <c r="H37" s="335">
        <v>1.7600000000000001E-2</v>
      </c>
    </row>
    <row r="38" spans="1:8" x14ac:dyDescent="0.25">
      <c r="A38" s="332">
        <v>7</v>
      </c>
      <c r="B38" s="332">
        <v>2018</v>
      </c>
      <c r="D38" s="335">
        <v>2.0500000000000001E-2</v>
      </c>
      <c r="E38" s="332"/>
      <c r="F38" s="335">
        <v>8.1000000000000013E-3</v>
      </c>
      <c r="G38" s="335">
        <v>1.4199999999999999E-2</v>
      </c>
      <c r="H38" s="335">
        <v>1.6899999999999998E-2</v>
      </c>
    </row>
    <row r="39" spans="1:8" x14ac:dyDescent="0.25">
      <c r="A39" s="332">
        <v>6</v>
      </c>
      <c r="B39" s="332">
        <v>2019</v>
      </c>
      <c r="D39" s="335">
        <v>1.44E-2</v>
      </c>
      <c r="E39" s="332"/>
      <c r="F39" s="335">
        <v>1.9E-3</v>
      </c>
      <c r="G39" s="335">
        <v>8.0000000000000002E-3</v>
      </c>
      <c r="H39" s="335">
        <v>1.1299999999999999E-2</v>
      </c>
    </row>
    <row r="40" spans="1:8" x14ac:dyDescent="0.25">
      <c r="A40" s="332">
        <v>5</v>
      </c>
      <c r="B40" s="332">
        <v>2020</v>
      </c>
      <c r="D40" s="335">
        <v>7.4000000000000003E-3</v>
      </c>
      <c r="E40" s="332"/>
      <c r="F40" s="335">
        <v>-1.4E-3</v>
      </c>
      <c r="G40" s="335">
        <v>3.5000000000000001E-3</v>
      </c>
      <c r="H40" s="335">
        <v>5.5999999999999999E-3</v>
      </c>
    </row>
    <row r="41" spans="1:8" x14ac:dyDescent="0.25">
      <c r="A41" s="332">
        <v>4</v>
      </c>
      <c r="B41" s="332">
        <v>2021</v>
      </c>
      <c r="D41" s="336">
        <v>2.4400000000000002E-2</v>
      </c>
      <c r="E41" s="332"/>
      <c r="F41" s="335">
        <v>-2.0000000000000001E-4</v>
      </c>
      <c r="G41" s="335">
        <v>5.1000000000000004E-3</v>
      </c>
      <c r="H41" s="335">
        <v>7.4000000000000003E-3</v>
      </c>
    </row>
    <row r="42" spans="1:8" x14ac:dyDescent="0.25">
      <c r="A42" s="332">
        <v>3</v>
      </c>
      <c r="B42" s="332">
        <v>2022</v>
      </c>
      <c r="D42" s="336">
        <v>9.5799999999999996E-2</v>
      </c>
      <c r="E42" s="332"/>
      <c r="F42" s="335">
        <v>1.7500000000000002E-2</v>
      </c>
      <c r="G42" s="335">
        <v>2.1499999999999998E-2</v>
      </c>
      <c r="H42" s="335">
        <v>2.1999999999999999E-2</v>
      </c>
    </row>
    <row r="43" spans="1:8" x14ac:dyDescent="0.25">
      <c r="A43" s="332">
        <v>2</v>
      </c>
      <c r="B43" s="332">
        <v>2023</v>
      </c>
      <c r="D43" s="336">
        <v>4.1099999999999998E-2</v>
      </c>
      <c r="E43" s="332"/>
      <c r="F43" s="335">
        <v>3.1099999999999999E-2</v>
      </c>
      <c r="G43" s="335">
        <v>3.4700000000000002E-2</v>
      </c>
      <c r="H43" s="335">
        <v>3.5400000000000001E-2</v>
      </c>
    </row>
    <row r="44" spans="1:8" x14ac:dyDescent="0.25">
      <c r="A44" s="337">
        <v>1</v>
      </c>
      <c r="B44" s="337">
        <v>2024</v>
      </c>
      <c r="D44" s="335">
        <v>3.1399999999999997E-2</v>
      </c>
      <c r="E44" s="332"/>
      <c r="F44" s="338">
        <v>2.9100000000000001E-2</v>
      </c>
      <c r="G44" s="338">
        <v>3.3700000000000001E-2</v>
      </c>
      <c r="H44" s="338">
        <v>3.4500000000000003E-2</v>
      </c>
    </row>
    <row r="45" spans="1:8" x14ac:dyDescent="0.25">
      <c r="A45" s="337">
        <v>0</v>
      </c>
      <c r="B45" s="337">
        <v>2025</v>
      </c>
      <c r="D45" s="335">
        <v>2.5499999999999998E-2</v>
      </c>
      <c r="E45" s="332"/>
      <c r="F45" s="338"/>
      <c r="G45" s="338">
        <v>3.8600000000000002E-2</v>
      </c>
      <c r="H45" s="338"/>
    </row>
    <row r="46" spans="1:8" x14ac:dyDescent="0.25">
      <c r="A46" s="332"/>
      <c r="B46" s="332"/>
      <c r="D46" s="335"/>
      <c r="E46" s="332"/>
      <c r="F46" s="338"/>
      <c r="G46" s="338"/>
      <c r="H46" s="338"/>
    </row>
    <row r="47" spans="1:8" x14ac:dyDescent="0.25">
      <c r="A47" s="325" t="s">
        <v>322</v>
      </c>
      <c r="D47" s="335">
        <f>AVERAGE(D36:D45)</f>
        <v>0.03015</v>
      </c>
      <c r="E47" s="332"/>
      <c r="F47" s="335">
        <f>AVERAGE(F35:F44)</f>
        <v>0.0107</v>
      </c>
      <c r="G47" s="335">
        <f>AVERAGE(G36:G45)</f>
        <v>0.01843</v>
      </c>
      <c r="H47" s="335">
        <f>AVERAGE(H35:H44)</f>
        <v>0.018179999999999998</v>
      </c>
    </row>
    <row r="48" spans="1:8" x14ac:dyDescent="0.25">
      <c r="A48" s="325" t="s">
        <v>323</v>
      </c>
      <c r="D48" s="335">
        <f>AVERAGE(D35:D45)</f>
        <v>0.027918181818181818</v>
      </c>
      <c r="E48" s="332"/>
      <c r="F48" s="335"/>
      <c r="G48" s="335"/>
      <c r="H48" s="335"/>
    </row>
    <row r="49" spans="1:8" x14ac:dyDescent="0.25">
      <c r="A49" s="325" t="s">
        <v>324</v>
      </c>
      <c r="D49" s="339">
        <f>AVERAGE(D26:D45)</f>
        <v>0.024390000000000002</v>
      </c>
      <c r="E49" s="332"/>
      <c r="F49" s="339">
        <f>AVERAGE(F25:F44)</f>
        <v>0.02271</v>
      </c>
      <c r="G49" s="339">
        <f>AVERAGE(G26:G45)</f>
        <v>0.027690000000000003</v>
      </c>
      <c r="H49" s="339">
        <f>AVERAGE(H25:H44)</f>
        <v>0.029249999999999998</v>
      </c>
    </row>
    <row r="50" spans="1:8" x14ac:dyDescent="0.25">
      <c r="A50" s="325" t="s">
        <v>325</v>
      </c>
      <c r="D50" s="339">
        <f>AVERAGE(D25:D45)</f>
        <v>0.02455238095238095</v>
      </c>
      <c r="E50" s="332"/>
      <c r="F50" s="332"/>
      <c r="G50" s="332"/>
      <c r="H50" s="332"/>
    </row>
    <row r="51" spans="1:8" x14ac:dyDescent="0.25">
      <c r="D51" s="340"/>
      <c r="E51" s="332"/>
      <c r="F51" s="332"/>
      <c r="G51" s="332"/>
      <c r="H51" s="332"/>
    </row>
    <row r="52" spans="1:8" x14ac:dyDescent="0.25">
      <c r="D52" s="332"/>
      <c r="E52" s="332"/>
      <c r="F52" s="332"/>
      <c r="G52" s="332"/>
      <c r="H52" s="332"/>
    </row>
  </sheetData>
  <mergeCells count="2">
    <mergeCell ref="A18:B18"/>
    <mergeCell ref="F18:H18"/>
  </mergeCells>
  <hyperlinks>
    <hyperlink ref="C13" r:id="rId1" xr:uid="{00000000-0004-0000-1600-000000000000}"/>
  </hyperlinks>
  <pageMargins left="0.59055118110236227" right="0.59055118110236227" top="1.1417322834645669" bottom="0.59055118110236227" header="0.51181102362204722" footer="0.51181102362204722"/>
  <pageSetup paperSize="9" scale="94" orientation="portrait" r:id="rId2"/>
  <headerFooter alignWithMargins="0">
    <oddHeader>&amp;R&amp;G</oddHeader>
    <oddFooter>&amp;C&amp;"Calibri,Standaard"&amp;F</oddFooter>
  </headerFooter>
  <customProperties>
    <customPr name="OrphanNamesChecked" r:id="rId3"/>
  </customProperties>
  <legacyDrawingHF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11">
    <tabColor rgb="FF00B050"/>
  </sheetPr>
  <dimension ref="A1:D99"/>
  <sheetViews>
    <sheetView view="pageBreakPreview" zoomScaleNormal="100" zoomScaleSheetLayoutView="100" workbookViewId="0">
      <selection activeCell="C32" sqref="C32"/>
    </sheetView>
  </sheetViews>
  <sheetFormatPr defaultColWidth="9.109375" defaultRowHeight="13.2" x14ac:dyDescent="0.25"/>
  <cols>
    <col min="1" max="1" width="30.5546875" style="3" customWidth="1"/>
    <col min="2" max="2" width="10.5546875" style="3" customWidth="1"/>
    <col min="3" max="3" width="12.5546875" style="7" customWidth="1"/>
    <col min="4" max="4" width="12.5546875" style="3" customWidth="1"/>
    <col min="5" max="16384" width="9.109375" style="3"/>
  </cols>
  <sheetData>
    <row r="1" spans="1:4" x14ac:dyDescent="0.25">
      <c r="A1" s="8" t="str">
        <f>'Gecorrigeerde vrije cash flow'!B1</f>
        <v>[NAAM VENNOOTSCHAP]</v>
      </c>
      <c r="B1" s="65"/>
      <c r="C1" s="64"/>
      <c r="D1" s="64"/>
    </row>
    <row r="2" spans="1:4" x14ac:dyDescent="0.25">
      <c r="A2" s="2"/>
      <c r="B2" s="65"/>
      <c r="C2" s="64"/>
      <c r="D2" s="180"/>
    </row>
    <row r="3" spans="1:4" x14ac:dyDescent="0.25">
      <c r="A3" s="27"/>
      <c r="B3" s="65"/>
      <c r="C3" s="64"/>
      <c r="D3" s="180"/>
    </row>
    <row r="4" spans="1:4" x14ac:dyDescent="0.25">
      <c r="A4" s="27" t="str">
        <f>'gecorrigeerd eigen vermogen'!A4</f>
        <v>Toestand op [afsluitdatum] (afsluitdatum)</v>
      </c>
      <c r="B4" s="65"/>
      <c r="C4" s="64"/>
      <c r="D4" s="180"/>
    </row>
    <row r="5" spans="1:4" x14ac:dyDescent="0.25">
      <c r="A5" s="27"/>
      <c r="B5" s="65"/>
      <c r="C5" s="64"/>
      <c r="D5" s="180"/>
    </row>
    <row r="6" spans="1:4" x14ac:dyDescent="0.25">
      <c r="A6" s="27"/>
      <c r="B6" s="65"/>
      <c r="C6" s="64"/>
      <c r="D6" s="180"/>
    </row>
    <row r="7" spans="1:4" x14ac:dyDescent="0.25">
      <c r="A7" s="8" t="s">
        <v>326</v>
      </c>
      <c r="B7" s="27"/>
      <c r="C7" s="27"/>
      <c r="D7" s="180"/>
    </row>
    <row r="8" spans="1:4" x14ac:dyDescent="0.25">
      <c r="A8" s="27"/>
      <c r="B8" s="27"/>
      <c r="C8" s="27"/>
      <c r="D8" s="180"/>
    </row>
    <row r="9" spans="1:4" x14ac:dyDescent="0.25">
      <c r="A9" s="27" t="s">
        <v>327</v>
      </c>
      <c r="B9" s="27"/>
      <c r="C9" s="27"/>
      <c r="D9" s="180"/>
    </row>
    <row r="10" spans="1:4" x14ac:dyDescent="0.25">
      <c r="A10" s="27"/>
      <c r="B10" s="27"/>
      <c r="C10" s="27"/>
      <c r="D10" s="180"/>
    </row>
    <row r="11" spans="1:4" x14ac:dyDescent="0.25">
      <c r="A11" s="27"/>
      <c r="B11" s="27"/>
      <c r="C11" s="64"/>
      <c r="D11" s="27"/>
    </row>
    <row r="12" spans="1:4" x14ac:dyDescent="0.25">
      <c r="A12" s="27" t="s">
        <v>328</v>
      </c>
      <c r="B12" s="27"/>
      <c r="C12" s="64">
        <f>'rendementswaarde 1'!C19</f>
        <v>0.0</v>
      </c>
      <c r="D12" s="27"/>
    </row>
    <row r="13" spans="1:4" x14ac:dyDescent="0.25">
      <c r="A13" s="27" t="s">
        <v>329</v>
      </c>
      <c r="B13" s="27"/>
      <c r="C13" s="64">
        <f>'rendementswaarde 2'!G44</f>
        <v>0.0</v>
      </c>
      <c r="D13" s="27"/>
    </row>
    <row r="14" spans="1:4" x14ac:dyDescent="0.25">
      <c r="A14" s="27"/>
      <c r="B14" s="27"/>
      <c r="C14" s="64"/>
      <c r="D14" s="27"/>
    </row>
    <row r="15" spans="1:4" x14ac:dyDescent="0.25">
      <c r="A15" s="2" t="s">
        <v>330</v>
      </c>
      <c r="B15" s="2"/>
      <c r="C15" s="4">
        <f>ROUNDUP((C12+C13)/2,-4)</f>
        <v>0.0</v>
      </c>
      <c r="D15" s="27"/>
    </row>
    <row r="16" spans="1:4" x14ac:dyDescent="0.25">
      <c r="A16" s="27"/>
      <c r="B16" s="27"/>
      <c r="C16" s="64"/>
      <c r="D16" s="27"/>
    </row>
    <row r="17" spans="3:3" x14ac:dyDescent="0.25">
      <c r="C17" s="64"/>
    </row>
    <row r="18" spans="3:3" x14ac:dyDescent="0.25">
      <c r="C18" s="64"/>
    </row>
    <row r="19" spans="3:3" x14ac:dyDescent="0.25">
      <c r="C19" s="64"/>
    </row>
    <row r="20" spans="3:3" x14ac:dyDescent="0.25">
      <c r="C20" s="64"/>
    </row>
    <row r="21" spans="3:3" x14ac:dyDescent="0.25">
      <c r="C21" s="64"/>
    </row>
    <row r="22" spans="3:3" x14ac:dyDescent="0.25">
      <c r="C22" s="64"/>
    </row>
    <row r="23" spans="3:3" x14ac:dyDescent="0.25">
      <c r="C23" s="64"/>
    </row>
    <row r="24" spans="3:3" x14ac:dyDescent="0.25">
      <c r="C24" s="64"/>
    </row>
    <row r="40" spans="2:2" x14ac:dyDescent="0.25">
      <c r="B40" s="68"/>
    </row>
    <row r="99" spans="2:2" x14ac:dyDescent="0.25">
      <c r="B99" s="68"/>
    </row>
  </sheetData>
  <phoneticPr fontId="4" type="noConversion"/>
  <pageMargins left="0.59055118110236227" right="0.59055118110236227" top="0.59055118110236227" bottom="0.59055118110236227" header="0.51181102362204722" footer="0.51181102362204722"/>
  <pageSetup paperSize="9" orientation="portrait" r:id="rId1"/>
  <headerFooter alignWithMargins="0">
    <oddFooter>&amp;C&amp;F</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12">
    <tabColor rgb="FF00B050"/>
  </sheetPr>
  <dimension ref="A1:G99"/>
  <sheetViews>
    <sheetView view="pageBreakPreview" zoomScale="115" zoomScaleNormal="100" zoomScaleSheetLayoutView="115" workbookViewId="0">
      <selection activeCell="C32" sqref="C32"/>
    </sheetView>
  </sheetViews>
  <sheetFormatPr defaultColWidth="9.109375" defaultRowHeight="13.2" x14ac:dyDescent="0.25"/>
  <cols>
    <col min="1" max="1" width="35.5546875" style="3" customWidth="1"/>
    <col min="2" max="4" width="12.5546875" style="3" customWidth="1"/>
    <col min="5" max="6" width="9.109375" style="3"/>
    <col min="7" max="7" width="11" style="3" bestFit="1" customWidth="1"/>
    <col min="8" max="16384" width="9.109375" style="3"/>
  </cols>
  <sheetData>
    <row r="1" spans="1:7" x14ac:dyDescent="0.25">
      <c r="A1" s="8" t="str">
        <f>Rendementswaarde!A1</f>
        <v>[NAAM VENNOOTSCHAP]</v>
      </c>
      <c r="B1" s="65"/>
      <c r="C1" s="64"/>
      <c r="D1" s="64"/>
    </row>
    <row r="2" spans="1:7" x14ac:dyDescent="0.25">
      <c r="A2" s="27"/>
      <c r="B2" s="65"/>
      <c r="C2" s="64"/>
      <c r="D2" s="64"/>
    </row>
    <row r="3" spans="1:7" x14ac:dyDescent="0.25">
      <c r="A3" s="27"/>
      <c r="B3" s="65"/>
      <c r="C3" s="64"/>
      <c r="D3" s="64"/>
    </row>
    <row r="4" spans="1:7" x14ac:dyDescent="0.25">
      <c r="A4" s="27" t="str">
        <f>'gecorrigeerd eigen vermogen'!A4</f>
        <v>Toestand op [afsluitdatum] (afsluitdatum)</v>
      </c>
      <c r="B4" s="65"/>
      <c r="C4" s="64"/>
      <c r="D4" s="64"/>
    </row>
    <row r="5" spans="1:7" x14ac:dyDescent="0.25">
      <c r="A5" s="27"/>
      <c r="B5" s="65"/>
      <c r="C5" s="64"/>
      <c r="D5" s="64"/>
    </row>
    <row r="6" spans="1:7" x14ac:dyDescent="0.25">
      <c r="A6" s="27"/>
      <c r="B6" s="65"/>
      <c r="C6" s="64"/>
      <c r="D6" s="64"/>
    </row>
    <row r="7" spans="1:7" x14ac:dyDescent="0.25">
      <c r="A7" s="8" t="s">
        <v>331</v>
      </c>
      <c r="B7" s="27"/>
      <c r="C7" s="27"/>
      <c r="D7" s="27"/>
    </row>
    <row r="8" spans="1:7" x14ac:dyDescent="0.25">
      <c r="A8" s="27"/>
      <c r="B8" s="27"/>
      <c r="C8" s="27"/>
      <c r="D8" s="27"/>
    </row>
    <row r="9" spans="1:7" x14ac:dyDescent="0.25">
      <c r="A9" s="27"/>
      <c r="B9" s="27"/>
      <c r="C9" s="27"/>
      <c r="D9" s="27"/>
    </row>
    <row r="10" spans="1:7" x14ac:dyDescent="0.25">
      <c r="A10" s="27" t="s">
        <v>332</v>
      </c>
      <c r="B10" s="27"/>
      <c r="C10" s="64">
        <f>'Gecorrigeerde vrije cash flow'!K76</f>
        <v>0.0</v>
      </c>
      <c r="D10" s="27"/>
    </row>
    <row r="11" spans="1:7" x14ac:dyDescent="0.25">
      <c r="A11" s="27" t="s">
        <v>333</v>
      </c>
      <c r="B11" s="27"/>
      <c r="C11" s="157">
        <f>Goodwill!C16+4%</f>
        <v>0.04</v>
      </c>
      <c r="D11" s="27"/>
      <c r="F11" s="7">
        <f>IFERROR(C13/C10,0)</f>
        <v>0.0</v>
      </c>
      <c r="G11" s="27" t="s">
        <v>334</v>
      </c>
    </row>
    <row r="12" spans="1:7" x14ac:dyDescent="0.25">
      <c r="A12" s="27" t="s">
        <v>335</v>
      </c>
      <c r="B12" s="27"/>
      <c r="C12" s="27"/>
      <c r="D12" s="27"/>
    </row>
    <row r="13" spans="1:7" x14ac:dyDescent="0.25">
      <c r="A13" s="27"/>
      <c r="B13" s="27"/>
      <c r="C13" s="64">
        <f>C10/C11</f>
        <v>0.0</v>
      </c>
      <c r="D13" s="27"/>
    </row>
    <row r="14" spans="1:7" x14ac:dyDescent="0.25">
      <c r="A14" s="27"/>
      <c r="B14" s="27"/>
      <c r="C14" s="27"/>
      <c r="D14" s="27"/>
    </row>
    <row r="15" spans="1:7" x14ac:dyDescent="0.25">
      <c r="A15" s="68" t="s">
        <v>336</v>
      </c>
      <c r="B15" s="27"/>
      <c r="C15" s="64">
        <f>Goodwill!E42</f>
        <v>0.0</v>
      </c>
      <c r="D15" s="27"/>
    </row>
    <row r="16" spans="1:7" hidden="1" x14ac:dyDescent="0.25">
      <c r="A16" s="27"/>
      <c r="B16" s="27"/>
      <c r="C16" s="27"/>
      <c r="D16" s="27"/>
    </row>
    <row r="17" spans="1:3" x14ac:dyDescent="0.25">
      <c r="A17" s="27"/>
      <c r="B17" s="27"/>
      <c r="C17" s="64"/>
    </row>
    <row r="18" spans="1:3" x14ac:dyDescent="0.25">
      <c r="A18" s="2" t="s">
        <v>330</v>
      </c>
      <c r="B18" s="2"/>
      <c r="C18" s="4">
        <f>+C13+C15</f>
        <v>0.0</v>
      </c>
    </row>
    <row r="19" spans="1:3" x14ac:dyDescent="0.25">
      <c r="A19" s="2" t="s">
        <v>134</v>
      </c>
      <c r="B19" s="2"/>
      <c r="C19" s="4">
        <f>ROUNDUP(C18,-3)</f>
        <v>0.0</v>
      </c>
    </row>
    <row r="20" spans="1:3" x14ac:dyDescent="0.25">
      <c r="A20" s="27"/>
      <c r="B20" s="27"/>
      <c r="C20" s="64"/>
    </row>
    <row r="21" spans="1:3" x14ac:dyDescent="0.25">
      <c r="A21" s="27"/>
      <c r="B21" s="27"/>
      <c r="C21" s="27"/>
    </row>
    <row r="22" spans="1:3" x14ac:dyDescent="0.25">
      <c r="A22" s="27"/>
      <c r="B22" s="27"/>
      <c r="C22" s="27"/>
    </row>
    <row r="23" spans="1:3" x14ac:dyDescent="0.25">
      <c r="A23" s="27"/>
      <c r="B23" s="27"/>
      <c r="C23" s="27"/>
    </row>
    <row r="24" spans="1:3" x14ac:dyDescent="0.25">
      <c r="A24" s="27"/>
      <c r="B24" s="27"/>
      <c r="C24" s="27"/>
    </row>
    <row r="40" spans="2:2" x14ac:dyDescent="0.25">
      <c r="B40" s="68"/>
    </row>
    <row r="99" spans="2:2" x14ac:dyDescent="0.25">
      <c r="B99" s="68"/>
    </row>
  </sheetData>
  <phoneticPr fontId="4" type="noConversion"/>
  <pageMargins left="0.59055118110236227" right="0.59055118110236227" top="0.59055118110236227" bottom="0.59055118110236227" header="0.51181102362204722" footer="0.51181102362204722"/>
  <pageSetup paperSize="9" orientation="portrait" r:id="rId1"/>
  <headerFooter alignWithMargins="0">
    <oddFooter>&amp;C&amp;F</oddFooter>
  </headerFooter>
  <customProperties>
    <customPr name="OrphanNamesChecke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13">
    <tabColor rgb="FF00B050"/>
    <pageSetUpPr fitToPage="1"/>
  </sheetPr>
  <dimension ref="A1:M77"/>
  <sheetViews>
    <sheetView topLeftCell="A22" zoomScaleNormal="100" zoomScaleSheetLayoutView="115" workbookViewId="0">
      <selection activeCell="E34" sqref="E34"/>
    </sheetView>
  </sheetViews>
  <sheetFormatPr defaultColWidth="9.109375" defaultRowHeight="13.2" x14ac:dyDescent="0.25"/>
  <cols>
    <col min="1" max="1" width="10.44140625" style="11" customWidth="1"/>
    <col min="2" max="2" width="10.88671875" style="11" customWidth="1"/>
    <col min="3" max="3" width="20.44140625" style="24" customWidth="1"/>
    <col min="4" max="4" width="13.44140625" style="24" customWidth="1"/>
    <col min="5" max="5" width="14.44140625" style="24" customWidth="1"/>
    <col min="6" max="6" width="13.5546875" style="24" bestFit="1" customWidth="1"/>
    <col min="7" max="7" width="13.88671875" style="24" customWidth="1"/>
    <col min="8" max="8" width="12.5546875" style="11" bestFit="1" customWidth="1"/>
    <col min="9" max="9" width="9.109375" style="11"/>
    <col min="10" max="10" width="9.6640625" style="11" bestFit="1" customWidth="1"/>
    <col min="11" max="12" width="9.109375" style="11"/>
    <col min="13" max="13" width="9.6640625" style="11" bestFit="1" customWidth="1"/>
    <col min="14" max="16384" width="9.109375" style="11"/>
  </cols>
  <sheetData>
    <row r="1" spans="1:8" x14ac:dyDescent="0.25">
      <c r="A1" s="20" t="str">
        <f>'rendementswaarde 1'!A1</f>
        <v>[NAAM VENNOOTSCHAP]</v>
      </c>
      <c r="B1" s="21"/>
      <c r="C1" s="9"/>
      <c r="D1" s="9"/>
      <c r="E1" s="11"/>
      <c r="F1" s="11"/>
      <c r="G1" s="11"/>
    </row>
    <row r="2" spans="1:8" ht="13.8" x14ac:dyDescent="0.25">
      <c r="A2" s="22"/>
      <c r="B2" s="21"/>
      <c r="C2" s="9"/>
      <c r="D2" s="23"/>
      <c r="E2" s="11"/>
      <c r="F2" s="11"/>
      <c r="G2" s="11"/>
    </row>
    <row r="3" spans="1:8" x14ac:dyDescent="0.25">
      <c r="B3" s="21"/>
      <c r="C3" s="9"/>
      <c r="D3" s="23"/>
      <c r="E3" s="11"/>
      <c r="F3" s="11"/>
      <c r="G3" s="11"/>
    </row>
    <row r="4" spans="1:8" x14ac:dyDescent="0.25">
      <c r="A4" s="11" t="str">
        <f>'gecorrigeerd eigen vermogen'!A4</f>
        <v>Toestand op [afsluitdatum] (afsluitdatum)</v>
      </c>
      <c r="B4" s="21"/>
      <c r="C4" s="9"/>
      <c r="D4" s="23"/>
      <c r="E4" s="11"/>
      <c r="F4" s="11"/>
      <c r="G4" s="11"/>
    </row>
    <row r="5" spans="1:8" x14ac:dyDescent="0.25">
      <c r="B5" s="21"/>
      <c r="C5" s="9"/>
      <c r="D5" s="23"/>
      <c r="E5" s="11"/>
      <c r="F5" s="11"/>
      <c r="G5" s="11"/>
    </row>
    <row r="6" spans="1:8" x14ac:dyDescent="0.25">
      <c r="B6" s="21"/>
      <c r="C6" s="9"/>
      <c r="D6" s="23"/>
      <c r="E6" s="11"/>
      <c r="F6" s="11"/>
      <c r="G6" s="11"/>
    </row>
    <row r="7" spans="1:8" x14ac:dyDescent="0.25">
      <c r="A7" s="20" t="s">
        <v>337</v>
      </c>
      <c r="C7" s="11"/>
      <c r="D7" s="23"/>
      <c r="E7" s="11"/>
      <c r="F7" s="11"/>
      <c r="G7" s="11"/>
    </row>
    <row r="9" spans="1:8" ht="13.8" thickBot="1" x14ac:dyDescent="0.3"/>
    <row r="10" spans="1:8" x14ac:dyDescent="0.25">
      <c r="A10" s="629" t="s">
        <v>338</v>
      </c>
      <c r="B10" s="630"/>
      <c r="C10" s="631"/>
      <c r="D10" s="631"/>
      <c r="E10" s="632">
        <f>'Gecorrigeerde vrije cash flow'!K76</f>
        <v>0.0</v>
      </c>
      <c r="F10" s="631"/>
      <c r="G10" s="631"/>
      <c r="H10" s="633"/>
    </row>
    <row r="11" spans="1:8" x14ac:dyDescent="0.25">
      <c r="A11" s="634"/>
      <c r="B11" s="95"/>
      <c r="C11" s="96"/>
      <c r="D11" s="96"/>
      <c r="E11" s="96"/>
      <c r="F11" s="96"/>
      <c r="G11" s="96"/>
      <c r="H11" s="635"/>
    </row>
    <row r="12" spans="1:8" x14ac:dyDescent="0.25">
      <c r="A12" s="634" t="s">
        <v>339</v>
      </c>
      <c r="B12" s="95"/>
      <c r="C12" s="96"/>
      <c r="D12" s="96"/>
      <c r="E12" s="636">
        <v>7</v>
      </c>
      <c r="F12" s="637" t="s">
        <v>84</v>
      </c>
      <c r="G12" s="96"/>
      <c r="H12" s="635"/>
    </row>
    <row r="13" spans="1:8" x14ac:dyDescent="0.25">
      <c r="A13" s="634"/>
      <c r="B13" s="95"/>
      <c r="C13" s="96"/>
      <c r="D13" s="96"/>
      <c r="E13" s="96"/>
      <c r="F13" s="96"/>
      <c r="G13" s="96"/>
      <c r="H13" s="635"/>
    </row>
    <row r="14" spans="1:8" x14ac:dyDescent="0.25">
      <c r="A14" s="634"/>
      <c r="B14" s="95" t="s">
        <v>340</v>
      </c>
      <c r="C14" s="96"/>
      <c r="D14" s="96"/>
      <c r="E14" s="638">
        <f>'Gecorrigeerde vrije cash flow'!K68</f>
        <v>0.0</v>
      </c>
      <c r="F14" s="639"/>
      <c r="G14" s="96"/>
      <c r="H14" s="635"/>
    </row>
    <row r="15" spans="1:8" x14ac:dyDescent="0.25">
      <c r="A15" s="634"/>
      <c r="B15" s="95" t="s">
        <v>341</v>
      </c>
      <c r="C15" s="96"/>
      <c r="D15" s="96"/>
      <c r="E15" s="640">
        <f>Goodwill!C18-1%</f>
        <v>0.032690000000000004</v>
      </c>
      <c r="F15" s="641" t="s">
        <v>342</v>
      </c>
      <c r="G15" s="96"/>
      <c r="H15" s="635"/>
    </row>
    <row r="16" spans="1:8" x14ac:dyDescent="0.25">
      <c r="A16" s="634"/>
      <c r="B16" s="95" t="s">
        <v>343</v>
      </c>
      <c r="C16" s="96"/>
      <c r="D16" s="96"/>
      <c r="E16" s="638">
        <f>G29</f>
        <v>0.0</v>
      </c>
      <c r="F16" s="96"/>
      <c r="G16" s="96"/>
      <c r="H16" s="635"/>
    </row>
    <row r="17" spans="1:13" x14ac:dyDescent="0.25">
      <c r="A17" s="634"/>
      <c r="B17" s="95" t="s">
        <v>134</v>
      </c>
      <c r="C17" s="96"/>
      <c r="D17" s="96"/>
      <c r="E17" s="642">
        <f>ROUND((1-$F$20)*E12*E14/(1+(1-$F$20)*E15*E12/2),2)</f>
        <v>0.0</v>
      </c>
      <c r="F17" s="643" t="s">
        <v>344</v>
      </c>
      <c r="G17" s="96"/>
      <c r="H17" s="635"/>
    </row>
    <row r="18" spans="1:13" x14ac:dyDescent="0.25">
      <c r="A18" s="634"/>
      <c r="B18" s="95"/>
      <c r="C18" s="96"/>
      <c r="D18" s="96"/>
      <c r="E18" s="96"/>
      <c r="F18" s="96"/>
      <c r="G18" s="96"/>
      <c r="H18" s="635"/>
    </row>
    <row r="19" spans="1:13" ht="11.4" customHeight="1" x14ac:dyDescent="0.25">
      <c r="A19" s="634"/>
      <c r="B19" s="97"/>
      <c r="C19" s="644" t="s">
        <v>345</v>
      </c>
      <c r="D19" s="644" t="s">
        <v>346</v>
      </c>
      <c r="E19" s="644" t="s">
        <v>347</v>
      </c>
      <c r="F19" s="644" t="s">
        <v>348</v>
      </c>
      <c r="G19" s="98" t="s">
        <v>349</v>
      </c>
      <c r="H19" s="635"/>
    </row>
    <row r="20" spans="1:13" x14ac:dyDescent="0.25">
      <c r="A20" s="634"/>
      <c r="B20" s="99"/>
      <c r="C20" s="96"/>
      <c r="D20" s="96"/>
      <c r="E20" s="638" t="s">
        <v>348</v>
      </c>
      <c r="F20" s="645">
        <v>0.25</v>
      </c>
      <c r="G20" s="100" t="s">
        <v>348</v>
      </c>
      <c r="H20" s="635"/>
    </row>
    <row r="21" spans="1:13" x14ac:dyDescent="0.25">
      <c r="A21" s="634"/>
      <c r="B21" s="99"/>
      <c r="C21" s="96"/>
      <c r="D21" s="96"/>
      <c r="E21" s="96"/>
      <c r="F21" s="645"/>
      <c r="G21" s="100"/>
      <c r="H21" s="635"/>
    </row>
    <row r="22" spans="1:13" x14ac:dyDescent="0.25">
      <c r="A22" s="634"/>
      <c r="B22" s="101" t="s">
        <v>350</v>
      </c>
      <c r="C22" s="638">
        <f>E17</f>
        <v>0.0</v>
      </c>
      <c r="D22" s="638">
        <f>(C22+C23)/2*$E$15</f>
        <v>0.0</v>
      </c>
      <c r="E22" s="638">
        <f>$E$14-D22</f>
        <v>0.0</v>
      </c>
      <c r="F22" s="638">
        <f>-E22*25%</f>
        <v>-0.0</v>
      </c>
      <c r="G22" s="102">
        <f>E22+F22</f>
        <v>0.0</v>
      </c>
      <c r="H22" s="635"/>
      <c r="J22" s="9"/>
    </row>
    <row r="23" spans="1:13" x14ac:dyDescent="0.25">
      <c r="A23" s="634"/>
      <c r="B23" s="101" t="s">
        <v>351</v>
      </c>
      <c r="C23" s="638">
        <f>C22-$C$22/$E$12</f>
        <v>0.0</v>
      </c>
      <c r="D23" s="638">
        <f>(C23+C24)/2*$E$15</f>
        <v>0.0</v>
      </c>
      <c r="E23" s="638">
        <f>$E$14-D23</f>
        <v>0.0</v>
      </c>
      <c r="F23" s="638">
        <f>-E23*25%</f>
        <v>-0.0</v>
      </c>
      <c r="G23" s="102">
        <f>E23+F23</f>
        <v>0.0</v>
      </c>
      <c r="H23" s="635"/>
      <c r="M23" s="9"/>
    </row>
    <row r="24" spans="1:13" x14ac:dyDescent="0.25">
      <c r="A24" s="634"/>
      <c r="B24" s="101" t="s">
        <v>352</v>
      </c>
      <c r="C24" s="638">
        <f>C23-$C$22/$E$12</f>
        <v>0.0</v>
      </c>
      <c r="D24" s="638">
        <f>(C24+C25)/2*$E$15</f>
        <v>0.0</v>
      </c>
      <c r="E24" s="638">
        <f>$E$14-D24</f>
        <v>0.0</v>
      </c>
      <c r="F24" s="638">
        <f>-E24*25%</f>
        <v>-0.0</v>
      </c>
      <c r="G24" s="102">
        <f>E24+F24</f>
        <v>0.0</v>
      </c>
      <c r="H24" s="635"/>
    </row>
    <row r="25" spans="1:13" x14ac:dyDescent="0.25">
      <c r="A25" s="634"/>
      <c r="B25" s="101" t="s">
        <v>353</v>
      </c>
      <c r="C25" s="638">
        <f>C24-$C$22/$E$12</f>
        <v>0.0</v>
      </c>
      <c r="D25" s="638">
        <f>(C25+C26)/2*$E$15</f>
        <v>0.0</v>
      </c>
      <c r="E25" s="638">
        <f>$E$14-D25</f>
        <v>0.0</v>
      </c>
      <c r="F25" s="638">
        <f>-E25*25%</f>
        <v>-0.0</v>
      </c>
      <c r="G25" s="102">
        <f>E25+F25</f>
        <v>0.0</v>
      </c>
      <c r="H25" s="635"/>
    </row>
    <row r="26" spans="1:13" x14ac:dyDescent="0.25">
      <c r="A26" s="634"/>
      <c r="B26" s="101" t="s">
        <v>354</v>
      </c>
      <c r="C26" s="638">
        <f>C25-$C$22/$E$12</f>
        <v>0.0</v>
      </c>
      <c r="D26" s="638">
        <f>(C26+C27)/2*$E$15</f>
        <v>0.0</v>
      </c>
      <c r="E26" s="638">
        <f>$E$14-D26</f>
        <v>0.0</v>
      </c>
      <c r="F26" s="638">
        <f>-E26*25%</f>
        <v>-0.0</v>
      </c>
      <c r="G26" s="102">
        <f>E26+F26</f>
        <v>0.0</v>
      </c>
      <c r="H26" s="635"/>
    </row>
    <row r="27" spans="1:13" x14ac:dyDescent="0.25">
      <c r="A27" s="634"/>
      <c r="B27" s="101" t="s">
        <v>355</v>
      </c>
      <c r="C27" s="638">
        <f>C26-$C$22/$E$12</f>
        <v>0.0</v>
      </c>
      <c r="D27" s="638">
        <f>(C27+C28)/2*$E$15</f>
        <v>0.0</v>
      </c>
      <c r="E27" s="638">
        <f>$E$14-D27</f>
        <v>0.0</v>
      </c>
      <c r="F27" s="638">
        <f>-E27*25%</f>
        <v>-0.0</v>
      </c>
      <c r="G27" s="102">
        <f>E27+F27</f>
        <v>0.0</v>
      </c>
      <c r="H27" s="635"/>
    </row>
    <row r="28" spans="1:13" x14ac:dyDescent="0.25">
      <c r="A28" s="634"/>
      <c r="B28" s="101" t="s">
        <v>356</v>
      </c>
      <c r="C28" s="638">
        <f>C27-$C$22/$E$12</f>
        <v>0.0</v>
      </c>
      <c r="D28" s="638">
        <f>(C28+C29)/2*$E$15</f>
        <v>0.0</v>
      </c>
      <c r="E28" s="638">
        <f>$E$14-D28</f>
        <v>0.0</v>
      </c>
      <c r="F28" s="638">
        <f>-E28*25%</f>
        <v>-0.0</v>
      </c>
      <c r="G28" s="102">
        <f>E28+F28</f>
        <v>0.0</v>
      </c>
      <c r="H28" s="635"/>
    </row>
    <row r="29" spans="1:13" x14ac:dyDescent="0.25">
      <c r="A29" s="634"/>
      <c r="B29" s="103"/>
      <c r="C29" s="104"/>
      <c r="D29" s="104"/>
      <c r="E29" s="104"/>
      <c r="F29" s="104"/>
      <c r="G29" s="105">
        <f>SUM(G22:G28)</f>
        <v>0.0</v>
      </c>
      <c r="H29" s="635"/>
    </row>
    <row r="30" spans="1:13" x14ac:dyDescent="0.25">
      <c r="A30" s="634"/>
      <c r="B30" s="95"/>
      <c r="C30" s="96"/>
      <c r="D30" s="96"/>
      <c r="E30" s="96"/>
      <c r="F30" s="96"/>
      <c r="G30" s="95"/>
      <c r="H30" s="635"/>
    </row>
    <row r="31" spans="1:13" x14ac:dyDescent="0.25">
      <c r="A31" s="634"/>
      <c r="B31" s="97" t="s">
        <v>48</v>
      </c>
      <c r="C31" s="646"/>
      <c r="D31" s="644"/>
      <c r="E31" s="522">
        <f>ROUND('gecorrigeerd eigen vermogen'!E44,-3)</f>
        <v>0.0</v>
      </c>
      <c r="F31" s="638"/>
      <c r="G31" s="96"/>
      <c r="H31" s="635"/>
    </row>
    <row r="32" spans="1:13" ht="15" hidden="1" x14ac:dyDescent="0.25">
      <c r="A32" s="634"/>
      <c r="B32" s="99" t="s">
        <v>357</v>
      </c>
      <c r="C32" s="95"/>
      <c r="D32" s="96"/>
      <c r="E32" s="102">
        <v>0</v>
      </c>
      <c r="F32" s="638"/>
      <c r="G32" s="96"/>
      <c r="H32" s="635"/>
    </row>
    <row r="33" spans="1:8" hidden="1" x14ac:dyDescent="0.25">
      <c r="A33" s="634"/>
      <c r="B33" s="99" t="s">
        <v>358</v>
      </c>
      <c r="C33" s="95"/>
      <c r="D33" s="96"/>
      <c r="E33" s="102">
        <v>0</v>
      </c>
      <c r="F33" s="638"/>
      <c r="G33" s="96"/>
      <c r="H33" s="635"/>
    </row>
    <row r="34" spans="1:8" x14ac:dyDescent="0.25">
      <c r="A34" s="634"/>
      <c r="B34" s="99" t="s">
        <v>359</v>
      </c>
      <c r="C34" s="95"/>
      <c r="D34" s="96"/>
      <c r="E34" s="527">
        <f>-(25%-'gecorrigeerd eigen vermogen'!C26)*'gecorrigeerd eigen vermogen'!D25</f>
        <v>-0.0</v>
      </c>
      <c r="F34" s="638"/>
      <c r="G34" s="96"/>
      <c r="H34" s="635"/>
    </row>
    <row r="35" spans="1:8" hidden="1" x14ac:dyDescent="0.25">
      <c r="A35" s="634"/>
      <c r="B35" s="99" t="s">
        <v>360</v>
      </c>
      <c r="C35" s="95"/>
      <c r="D35" s="96"/>
      <c r="E35" s="523">
        <f>(-'gecorrigeerd eigen vermogen'!D38*0%)-'gecorrigeerd eigen vermogen'!E33</f>
        <v>0.0</v>
      </c>
      <c r="F35" s="647"/>
      <c r="G35" s="638"/>
      <c r="H35" s="635"/>
    </row>
    <row r="36" spans="1:8" x14ac:dyDescent="0.25">
      <c r="A36" s="634"/>
      <c r="B36" s="99"/>
      <c r="C36" s="95"/>
      <c r="D36" s="96"/>
      <c r="E36" s="102">
        <f>SUM(E31:E35)</f>
        <v>0.0</v>
      </c>
      <c r="F36" s="638"/>
      <c r="G36" s="96"/>
      <c r="H36" s="635"/>
    </row>
    <row r="37" spans="1:8" ht="15" x14ac:dyDescent="0.25">
      <c r="A37" s="634"/>
      <c r="B37" s="99" t="s">
        <v>361</v>
      </c>
      <c r="C37" s="95"/>
      <c r="D37" s="96"/>
      <c r="E37" s="524">
        <f>J74</f>
        <v>0.042690000000000006</v>
      </c>
      <c r="F37" s="648"/>
      <c r="G37" s="96"/>
      <c r="H37" s="635"/>
    </row>
    <row r="38" spans="1:8" x14ac:dyDescent="0.25">
      <c r="A38" s="634"/>
      <c r="B38" s="103"/>
      <c r="C38" s="525"/>
      <c r="D38" s="526"/>
      <c r="E38" s="527">
        <f>E36/((1+E37)^E12)</f>
        <v>0.0</v>
      </c>
      <c r="F38" s="95"/>
      <c r="G38" s="96"/>
      <c r="H38" s="635"/>
    </row>
    <row r="39" spans="1:8" x14ac:dyDescent="0.25">
      <c r="A39" s="634"/>
      <c r="B39" s="95"/>
      <c r="C39" s="95"/>
      <c r="D39" s="96"/>
      <c r="E39" s="638"/>
      <c r="F39" s="638"/>
      <c r="G39" s="96"/>
      <c r="H39" s="635"/>
    </row>
    <row r="40" spans="1:8" x14ac:dyDescent="0.25">
      <c r="A40" s="634"/>
      <c r="B40" s="95" t="s">
        <v>343</v>
      </c>
      <c r="C40" s="95"/>
      <c r="D40" s="96"/>
      <c r="E40" s="96"/>
      <c r="F40" s="638"/>
      <c r="G40" s="638">
        <f>+E17</f>
        <v>0.0</v>
      </c>
      <c r="H40" s="635"/>
    </row>
    <row r="41" spans="1:8" x14ac:dyDescent="0.25">
      <c r="A41" s="634"/>
      <c r="B41" s="95" t="s">
        <v>362</v>
      </c>
      <c r="C41" s="95"/>
      <c r="D41" s="96"/>
      <c r="E41" s="96"/>
      <c r="F41" s="96"/>
      <c r="G41" s="638">
        <f>ROUND(E38,-3)</f>
        <v>0.0</v>
      </c>
      <c r="H41" s="635"/>
    </row>
    <row r="42" spans="1:8" x14ac:dyDescent="0.25">
      <c r="A42" s="634"/>
      <c r="B42" s="649"/>
      <c r="C42" s="650"/>
      <c r="D42" s="650"/>
      <c r="E42" s="650"/>
      <c r="F42" s="96"/>
      <c r="G42" s="96"/>
      <c r="H42" s="635"/>
    </row>
    <row r="43" spans="1:8" x14ac:dyDescent="0.25">
      <c r="A43" s="651" t="s">
        <v>329</v>
      </c>
      <c r="B43" s="649"/>
      <c r="C43" s="650"/>
      <c r="D43" s="650"/>
      <c r="E43" s="650"/>
      <c r="F43" s="650"/>
      <c r="G43" s="642">
        <f>SUM(G40:G42)</f>
        <v>0.0</v>
      </c>
      <c r="H43" s="635"/>
    </row>
    <row r="44" spans="1:8" ht="13.8" thickBot="1" x14ac:dyDescent="0.3">
      <c r="A44" s="652" t="s">
        <v>134</v>
      </c>
      <c r="B44" s="653"/>
      <c r="C44" s="654"/>
      <c r="D44" s="654"/>
      <c r="E44" s="654"/>
      <c r="F44" s="655"/>
      <c r="G44" s="656">
        <f>ROUND(G43,-3)</f>
        <v>0.0</v>
      </c>
      <c r="H44" s="657"/>
    </row>
    <row r="45" spans="1:8" x14ac:dyDescent="0.25">
      <c r="A45" s="95"/>
      <c r="B45" s="95"/>
      <c r="C45" s="96"/>
      <c r="D45" s="96"/>
      <c r="E45" s="96"/>
      <c r="F45" s="96"/>
      <c r="G45" s="96"/>
      <c r="H45" s="95"/>
    </row>
    <row r="48" spans="1:8" x14ac:dyDescent="0.25">
      <c r="A48" s="25"/>
      <c r="B48" s="25"/>
      <c r="C48" s="26"/>
      <c r="G48" s="11"/>
    </row>
    <row r="49" spans="1:11" x14ac:dyDescent="0.25">
      <c r="A49" s="95" t="s">
        <v>363</v>
      </c>
      <c r="B49" s="95"/>
      <c r="C49" s="96"/>
      <c r="D49" s="96"/>
      <c r="E49" s="96"/>
      <c r="F49" s="96"/>
      <c r="G49" s="96"/>
      <c r="H49" s="95"/>
      <c r="I49" s="95"/>
      <c r="J49" s="95"/>
    </row>
    <row r="50" spans="1:11" x14ac:dyDescent="0.25">
      <c r="A50" s="95"/>
      <c r="B50" s="95"/>
      <c r="C50" s="96"/>
      <c r="D50" s="96"/>
      <c r="E50" s="96"/>
      <c r="F50" s="96"/>
      <c r="G50" s="96"/>
      <c r="H50" s="95"/>
      <c r="I50" s="95"/>
      <c r="J50" s="95"/>
    </row>
    <row r="51" spans="1:11" x14ac:dyDescent="0.25">
      <c r="A51" s="95"/>
      <c r="B51" s="687" t="s">
        <v>364</v>
      </c>
      <c r="C51" s="96"/>
      <c r="D51" s="96"/>
      <c r="E51" s="96"/>
      <c r="F51" s="637"/>
      <c r="G51" s="96"/>
      <c r="H51" s="95"/>
      <c r="I51" s="95"/>
      <c r="J51" s="95"/>
    </row>
    <row r="52" spans="1:11" x14ac:dyDescent="0.25">
      <c r="A52" s="95"/>
      <c r="B52" s="687" t="s">
        <v>365</v>
      </c>
      <c r="C52" s="96"/>
      <c r="D52" s="96"/>
      <c r="E52" s="96"/>
      <c r="F52" s="637"/>
      <c r="G52" s="96"/>
      <c r="H52" s="95"/>
      <c r="I52" s="95"/>
      <c r="J52" s="95"/>
    </row>
    <row r="53" spans="1:11" x14ac:dyDescent="0.25">
      <c r="A53" s="95"/>
      <c r="B53" s="687" t="s">
        <v>366</v>
      </c>
      <c r="C53" s="96"/>
      <c r="D53" s="96"/>
      <c r="E53" s="96"/>
      <c r="F53" s="637"/>
      <c r="G53" s="96"/>
      <c r="H53" s="95"/>
      <c r="I53" s="95"/>
      <c r="J53" s="95"/>
    </row>
    <row r="54" spans="1:11" x14ac:dyDescent="0.25">
      <c r="A54" s="95"/>
      <c r="B54" s="95"/>
      <c r="C54" s="96"/>
      <c r="D54" s="96"/>
      <c r="E54" s="96"/>
      <c r="F54" s="96"/>
      <c r="G54" s="96"/>
      <c r="H54" s="95"/>
      <c r="I54" s="95"/>
      <c r="J54" s="95"/>
    </row>
    <row r="55" spans="1:11" x14ac:dyDescent="0.25">
      <c r="A55" s="95"/>
      <c r="B55" s="95" t="s">
        <v>367</v>
      </c>
      <c r="C55" s="96"/>
      <c r="D55" s="638">
        <f>-'Gecorrigeerde vrije cash flow'!N41</f>
        <v>-0.0</v>
      </c>
      <c r="E55" s="637" t="s">
        <v>368</v>
      </c>
      <c r="F55" s="637"/>
      <c r="G55" s="96"/>
      <c r="H55" s="95"/>
      <c r="I55" s="95"/>
      <c r="J55" s="95"/>
    </row>
    <row r="56" spans="1:11" x14ac:dyDescent="0.25">
      <c r="A56" s="95"/>
      <c r="B56" s="95" t="s">
        <v>369</v>
      </c>
      <c r="C56" s="96"/>
      <c r="D56" s="688" t="s">
        <v>370</v>
      </c>
      <c r="E56" s="96"/>
      <c r="F56" s="637"/>
      <c r="G56" s="96"/>
      <c r="H56" s="95"/>
      <c r="I56" s="95"/>
      <c r="J56" s="95"/>
    </row>
    <row r="57" spans="1:11" x14ac:dyDescent="0.25">
      <c r="A57" s="95"/>
      <c r="B57" s="95" t="s">
        <v>371</v>
      </c>
      <c r="C57" s="96"/>
      <c r="D57" s="638">
        <f>D55/6</f>
        <v>-0.0</v>
      </c>
      <c r="E57" s="96"/>
      <c r="F57" s="637"/>
      <c r="G57" s="96"/>
      <c r="H57" s="95"/>
      <c r="I57" s="95"/>
      <c r="J57" s="95"/>
    </row>
    <row r="58" spans="1:11" x14ac:dyDescent="0.25">
      <c r="A58" s="95"/>
      <c r="B58" s="95" t="s">
        <v>372</v>
      </c>
      <c r="C58" s="96"/>
      <c r="D58" s="689">
        <v>0.25</v>
      </c>
      <c r="E58" s="96"/>
      <c r="F58" s="637"/>
      <c r="G58" s="96"/>
      <c r="H58" s="95"/>
      <c r="I58" s="95"/>
      <c r="J58" s="95"/>
      <c r="K58" s="179"/>
    </row>
    <row r="59" spans="1:11" x14ac:dyDescent="0.25">
      <c r="A59" s="95"/>
      <c r="B59" s="95" t="s">
        <v>373</v>
      </c>
      <c r="C59" s="96"/>
      <c r="D59" s="638">
        <f>D57*(1-D58)</f>
        <v>-0.0</v>
      </c>
      <c r="E59" s="96"/>
      <c r="F59" s="637"/>
      <c r="G59" s="96"/>
      <c r="H59" s="95"/>
      <c r="I59" s="95"/>
      <c r="J59" s="95"/>
    </row>
    <row r="60" spans="1:11" x14ac:dyDescent="0.25">
      <c r="A60" s="95"/>
      <c r="B60" s="95"/>
      <c r="C60" s="96"/>
      <c r="D60" s="642"/>
      <c r="E60" s="96"/>
      <c r="F60" s="637"/>
      <c r="G60" s="96"/>
      <c r="H60" s="95"/>
      <c r="I60" s="95"/>
      <c r="J60" s="95"/>
    </row>
    <row r="61" spans="1:11" hidden="1" x14ac:dyDescent="0.25">
      <c r="A61" s="95"/>
      <c r="B61" s="95" t="s">
        <v>374</v>
      </c>
      <c r="C61" s="650"/>
      <c r="D61" s="642"/>
      <c r="E61" s="96"/>
      <c r="F61" s="96"/>
      <c r="G61" s="96"/>
      <c r="H61" s="95"/>
      <c r="I61" s="95"/>
      <c r="J61" s="95"/>
    </row>
    <row r="62" spans="1:11" hidden="1" x14ac:dyDescent="0.25">
      <c r="A62" s="95"/>
      <c r="B62" s="95"/>
      <c r="C62" s="96"/>
      <c r="D62" s="96"/>
      <c r="E62" s="96"/>
      <c r="F62" s="96"/>
      <c r="G62" s="96"/>
      <c r="H62" s="95"/>
      <c r="I62" s="95"/>
      <c r="J62" s="95"/>
    </row>
    <row r="63" spans="1:11" hidden="1" x14ac:dyDescent="0.25">
      <c r="A63" s="95"/>
      <c r="B63" s="95" t="s">
        <v>375</v>
      </c>
      <c r="C63" s="96"/>
      <c r="D63" s="638">
        <v>0</v>
      </c>
      <c r="E63" s="96"/>
      <c r="F63" s="96"/>
      <c r="G63" s="96"/>
      <c r="H63" s="95"/>
      <c r="I63" s="95"/>
      <c r="J63" s="95"/>
    </row>
    <row r="64" spans="1:11" hidden="1" x14ac:dyDescent="0.25">
      <c r="A64" s="95"/>
      <c r="B64" s="95" t="s">
        <v>376</v>
      </c>
      <c r="C64" s="96"/>
      <c r="D64" s="690" t="s">
        <v>370</v>
      </c>
      <c r="E64" s="96"/>
      <c r="F64" s="96"/>
      <c r="G64" s="96"/>
      <c r="H64" s="95"/>
      <c r="I64" s="95"/>
      <c r="J64" s="95"/>
    </row>
    <row r="65" spans="1:10" hidden="1" x14ac:dyDescent="0.25">
      <c r="A65" s="95"/>
      <c r="B65" s="95" t="s">
        <v>371</v>
      </c>
      <c r="C65" s="96"/>
      <c r="D65" s="638">
        <f>D63/6</f>
        <v>0.0</v>
      </c>
      <c r="E65" s="96"/>
      <c r="F65" s="96"/>
      <c r="G65" s="96"/>
      <c r="H65" s="95"/>
      <c r="I65" s="95"/>
      <c r="J65" s="95"/>
    </row>
    <row r="66" spans="1:10" hidden="1" x14ac:dyDescent="0.25">
      <c r="A66" s="95"/>
      <c r="B66" s="95" t="s">
        <v>372</v>
      </c>
      <c r="C66" s="96"/>
      <c r="D66" s="691">
        <v>0.3</v>
      </c>
      <c r="E66" s="96"/>
      <c r="F66" s="96"/>
      <c r="G66" s="96"/>
      <c r="H66" s="95"/>
      <c r="I66" s="95"/>
      <c r="J66" s="95"/>
    </row>
    <row r="67" spans="1:10" hidden="1" x14ac:dyDescent="0.25">
      <c r="A67" s="95"/>
      <c r="B67" s="95" t="s">
        <v>373</v>
      </c>
      <c r="C67" s="96"/>
      <c r="D67" s="638">
        <f>D65*(1-D66)</f>
        <v>0.0</v>
      </c>
      <c r="E67" s="96"/>
      <c r="F67" s="96"/>
      <c r="G67" s="96"/>
      <c r="H67" s="95"/>
      <c r="I67" s="95"/>
      <c r="J67" s="95"/>
    </row>
    <row r="68" spans="1:10" hidden="1" x14ac:dyDescent="0.25">
      <c r="A68" s="95"/>
      <c r="B68" s="95"/>
      <c r="C68" s="96"/>
      <c r="D68" s="96"/>
      <c r="E68" s="96"/>
      <c r="F68" s="96"/>
      <c r="G68" s="96"/>
      <c r="H68" s="95"/>
      <c r="I68" s="95"/>
      <c r="J68" s="95"/>
    </row>
    <row r="69" spans="1:10" x14ac:dyDescent="0.25">
      <c r="A69" s="95"/>
      <c r="B69" s="95" t="s">
        <v>377</v>
      </c>
      <c r="C69" s="96"/>
      <c r="D69" s="642">
        <f>D59+D67</f>
        <v>0.0</v>
      </c>
      <c r="E69" s="96"/>
      <c r="F69" s="96"/>
      <c r="G69" s="96"/>
      <c r="H69" s="95"/>
      <c r="I69" s="95"/>
      <c r="J69" s="95"/>
    </row>
    <row r="70" spans="1:10" x14ac:dyDescent="0.25">
      <c r="A70" s="95"/>
      <c r="B70" s="95"/>
      <c r="C70" s="96"/>
      <c r="D70" s="96"/>
      <c r="E70" s="96"/>
      <c r="F70" s="96"/>
      <c r="G70" s="96"/>
      <c r="H70" s="95"/>
      <c r="I70" s="95"/>
      <c r="J70" s="95"/>
    </row>
    <row r="71" spans="1:10" x14ac:dyDescent="0.25">
      <c r="A71" s="95"/>
      <c r="B71" s="95"/>
      <c r="C71" s="96"/>
      <c r="D71" s="96"/>
      <c r="E71" s="96"/>
      <c r="F71" s="96"/>
      <c r="G71" s="96"/>
      <c r="H71" s="95"/>
      <c r="I71" s="95"/>
      <c r="J71" s="95"/>
    </row>
    <row r="72" spans="1:10" x14ac:dyDescent="0.25">
      <c r="A72" s="692" t="s">
        <v>378</v>
      </c>
      <c r="B72" s="354"/>
      <c r="C72" s="693"/>
      <c r="D72" s="694"/>
      <c r="E72" s="695">
        <f>+Goodwill!C18</f>
        <v>0.042690000000000006</v>
      </c>
      <c r="F72" s="408" t="s">
        <v>379</v>
      </c>
      <c r="G72" s="96"/>
      <c r="H72" s="598"/>
      <c r="I72" s="95"/>
      <c r="J72" s="95"/>
    </row>
    <row r="73" spans="1:10" x14ac:dyDescent="0.25">
      <c r="A73" s="354"/>
      <c r="B73" s="354"/>
      <c r="C73" s="693"/>
      <c r="D73" s="694"/>
      <c r="E73" s="354"/>
      <c r="F73" s="637"/>
      <c r="G73" s="96"/>
      <c r="H73" s="598"/>
      <c r="I73" s="95"/>
      <c r="J73" s="95"/>
    </row>
    <row r="74" spans="1:10" x14ac:dyDescent="0.25">
      <c r="A74" s="354"/>
      <c r="B74" s="354"/>
      <c r="C74" s="354"/>
      <c r="D74" s="354"/>
      <c r="E74" s="696"/>
      <c r="F74" s="697" t="s">
        <v>380</v>
      </c>
      <c r="G74" s="96"/>
      <c r="H74" s="698">
        <f>Goodwill!E42</f>
        <v>0.0</v>
      </c>
      <c r="I74" s="95"/>
      <c r="J74" s="695">
        <f>IF(H75=0,E72,E72-(E72*(H74/H75)))</f>
        <v>0.042690000000000006</v>
      </c>
    </row>
    <row r="75" spans="1:10" x14ac:dyDescent="0.25">
      <c r="A75" s="354"/>
      <c r="B75" s="354"/>
      <c r="C75" s="354"/>
      <c r="D75" s="354"/>
      <c r="E75" s="696"/>
      <c r="F75" s="637" t="s">
        <v>48</v>
      </c>
      <c r="G75" s="96"/>
      <c r="H75" s="598">
        <f>'gecorrigeerd eigen vermogen'!E44</f>
        <v>0.0</v>
      </c>
      <c r="I75" s="95"/>
      <c r="J75" s="95"/>
    </row>
    <row r="76" spans="1:10" x14ac:dyDescent="0.25">
      <c r="A76" s="354"/>
      <c r="B76" s="354"/>
      <c r="C76" s="354"/>
      <c r="D76" s="354"/>
      <c r="E76" s="354"/>
      <c r="F76" s="96"/>
      <c r="G76" s="96"/>
      <c r="H76" s="95"/>
      <c r="I76" s="95"/>
      <c r="J76" s="95"/>
    </row>
    <row r="77" spans="1:10" x14ac:dyDescent="0.25">
      <c r="A77" s="88"/>
      <c r="B77" s="88"/>
      <c r="C77" s="88"/>
      <c r="D77" s="88"/>
      <c r="E77" s="94"/>
    </row>
  </sheetData>
  <phoneticPr fontId="4" type="noConversion"/>
  <pageMargins left="0.59055118110236227" right="0.59055118110236227" top="0.59055118110236227" bottom="0.59055118110236227" header="0.51181102362204722" footer="0.51181102362204722"/>
  <pageSetup paperSize="9" scale="71" orientation="portrait" r:id="rId1"/>
  <headerFooter alignWithMargins="0">
    <oddFooter>&amp;C&amp;F</oddFooter>
  </headerFooter>
  <customProperties>
    <customPr name="OrphanNamesChecke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tabColor rgb="FF00B050"/>
  </sheetPr>
  <dimension ref="A1:E28"/>
  <sheetViews>
    <sheetView view="pageBreakPreview" topLeftCell="A7" zoomScaleNormal="100" zoomScaleSheetLayoutView="100" workbookViewId="0">
      <selection activeCell="C32" sqref="C32"/>
    </sheetView>
  </sheetViews>
  <sheetFormatPr defaultColWidth="9.109375" defaultRowHeight="13.2" x14ac:dyDescent="0.25"/>
  <cols>
    <col min="1" max="1" width="42.5546875" style="88" customWidth="1"/>
    <col min="2" max="4" width="15.5546875" style="88" customWidth="1"/>
    <col min="5" max="16384" width="9.109375" style="88"/>
  </cols>
  <sheetData>
    <row r="1" spans="1:4" x14ac:dyDescent="0.25">
      <c r="A1" s="172" t="str">
        <f>'rendementswaarde 2'!A1</f>
        <v>[NAAM VENNOOTSCHAP]</v>
      </c>
      <c r="B1" s="93"/>
      <c r="C1" s="89"/>
      <c r="D1" s="89"/>
    </row>
    <row r="2" spans="1:4" x14ac:dyDescent="0.25">
      <c r="B2" s="93"/>
      <c r="C2" s="89"/>
      <c r="D2" s="89"/>
    </row>
    <row r="3" spans="1:4" x14ac:dyDescent="0.25">
      <c r="B3" s="93"/>
      <c r="C3" s="89"/>
      <c r="D3" s="89"/>
    </row>
    <row r="4" spans="1:4" x14ac:dyDescent="0.25">
      <c r="A4" s="88" t="str">
        <f>'weerhouden waarde'!A6</f>
        <v>Toestand op [afsluitdatum] (afsluitdatum)</v>
      </c>
      <c r="B4" s="93"/>
      <c r="C4" s="89"/>
      <c r="D4" s="89"/>
    </row>
    <row r="5" spans="1:4" x14ac:dyDescent="0.25">
      <c r="B5" s="93"/>
      <c r="C5" s="89"/>
      <c r="D5" s="89"/>
    </row>
    <row r="6" spans="1:4" x14ac:dyDescent="0.25">
      <c r="B6" s="93"/>
      <c r="C6" s="89"/>
      <c r="D6" s="89"/>
    </row>
    <row r="7" spans="1:4" x14ac:dyDescent="0.25">
      <c r="A7" s="172" t="s">
        <v>381</v>
      </c>
    </row>
    <row r="10" spans="1:4" x14ac:dyDescent="0.25">
      <c r="A10" s="354"/>
      <c r="B10" s="699" t="s">
        <v>382</v>
      </c>
      <c r="C10" s="699" t="s">
        <v>383</v>
      </c>
      <c r="D10" s="699" t="s">
        <v>384</v>
      </c>
    </row>
    <row r="11" spans="1:4" x14ac:dyDescent="0.25">
      <c r="A11" s="354"/>
      <c r="B11" s="699"/>
      <c r="C11" s="699"/>
      <c r="D11" s="699"/>
    </row>
    <row r="12" spans="1:4" x14ac:dyDescent="0.25">
      <c r="A12" s="354" t="str">
        <f>IF('Gecorrigeerde vrije cash flow'!R9="","EBITDA boekjaar","EBITDA boekjaar "&amp;YEAR('Gecorrigeerde vrije cash flow'!R9)&amp;" (prognose)")</f>
        <v>EBITDA boekjaar</v>
      </c>
      <c r="B12" s="696">
        <f>'Gecorrigeerde vrije cash flow'!R54</f>
        <v>0.0</v>
      </c>
      <c r="C12" s="836">
        <f>'Gecorrigeerde vrije cash flow'!R74</f>
        <v>0.0</v>
      </c>
      <c r="D12" s="700">
        <f>B12*C12</f>
        <v>0.0</v>
      </c>
    </row>
    <row r="13" spans="1:4" x14ac:dyDescent="0.25">
      <c r="A13" s="354" t="str">
        <f>IF('Gecorrigeerde vrije cash flow'!N9="","EBITDA boekjaar","EBITDA boekjaar "&amp;YEAR('Gecorrigeerde vrije cash flow'!N9)&amp;"")</f>
        <v>EBITDA boekjaar</v>
      </c>
      <c r="B13" s="700">
        <f>'Gecorrigeerde vrije cash flow'!N54</f>
        <v>0.0</v>
      </c>
      <c r="C13" s="837">
        <f>'Gecorrigeerde vrije cash flow'!N74</f>
        <v>0.0</v>
      </c>
      <c r="D13" s="700">
        <f>B13*C13</f>
        <v>0.0</v>
      </c>
    </row>
    <row r="14" spans="1:4" x14ac:dyDescent="0.25">
      <c r="A14" s="354" t="str">
        <f>IF('Gecorrigeerde vrije cash flow'!K9="","EBITDA boekjaar","EBITDA boekjaar "&amp;YEAR('Gecorrigeerde vrije cash flow'!K9)&amp;"")</f>
        <v>EBITDA boekjaar</v>
      </c>
      <c r="B14" s="700">
        <f>'Gecorrigeerde vrije cash flow'!K54</f>
        <v>0.0</v>
      </c>
      <c r="C14" s="837">
        <f>'Gecorrigeerde vrije cash flow'!K74</f>
        <v>0.0</v>
      </c>
      <c r="D14" s="700">
        <f>B14*C14</f>
        <v>0.0</v>
      </c>
    </row>
    <row r="15" spans="1:4" x14ac:dyDescent="0.25">
      <c r="A15" s="354" t="str">
        <f>IF('Gecorrigeerde vrije cash flow'!H9="","EBITDA boekjaar","EBITDA boekjaar "&amp;YEAR('Gecorrigeerde vrije cash flow'!H9)&amp;"")</f>
        <v>EBITDA boekjaar</v>
      </c>
      <c r="B15" s="700">
        <f>'Gecorrigeerde vrije cash flow'!H54</f>
        <v>0.0</v>
      </c>
      <c r="C15" s="837">
        <f>'Gecorrigeerde vrije cash flow'!H74</f>
        <v>0.0</v>
      </c>
      <c r="D15" s="700">
        <f>B15*C15</f>
        <v>0.0</v>
      </c>
    </row>
    <row r="16" spans="1:4" x14ac:dyDescent="0.25">
      <c r="A16" s="354"/>
      <c r="B16" s="700"/>
      <c r="C16" s="701"/>
      <c r="D16" s="700"/>
    </row>
    <row r="17" spans="1:5" x14ac:dyDescent="0.25">
      <c r="A17" s="702" t="s">
        <v>385</v>
      </c>
      <c r="B17" s="702"/>
      <c r="C17" s="702"/>
      <c r="D17" s="703">
        <f>ROUND(SUM(D12:D15),-2)</f>
        <v>0.0</v>
      </c>
    </row>
    <row r="18" spans="1:5" x14ac:dyDescent="0.25">
      <c r="A18" s="354"/>
      <c r="B18" s="354"/>
      <c r="C18" s="354"/>
      <c r="D18" s="700"/>
    </row>
    <row r="19" spans="1:5" x14ac:dyDescent="0.25">
      <c r="A19" s="354" t="s">
        <v>386</v>
      </c>
      <c r="B19" s="354"/>
      <c r="C19" s="354"/>
      <c r="D19" s="704"/>
    </row>
    <row r="20" spans="1:5" x14ac:dyDescent="0.25">
      <c r="A20" s="354"/>
      <c r="B20" s="354"/>
      <c r="C20" s="354"/>
      <c r="D20" s="705"/>
    </row>
    <row r="21" spans="1:5" x14ac:dyDescent="0.25">
      <c r="A21" s="354" t="s">
        <v>387</v>
      </c>
      <c r="B21" s="354"/>
      <c r="C21" s="354"/>
      <c r="D21" s="700">
        <f>D17*D19</f>
        <v>0.0</v>
      </c>
    </row>
    <row r="22" spans="1:5" x14ac:dyDescent="0.25">
      <c r="A22" s="354"/>
      <c r="B22" s="354"/>
      <c r="C22" s="354"/>
      <c r="D22" s="354"/>
    </row>
    <row r="23" spans="1:5" x14ac:dyDescent="0.25">
      <c r="A23" s="692" t="s">
        <v>388</v>
      </c>
      <c r="B23" s="354"/>
      <c r="C23" s="354"/>
      <c r="D23" s="700">
        <f>Goodwill!E42</f>
        <v>0.0</v>
      </c>
    </row>
    <row r="24" spans="1:5" hidden="1" x14ac:dyDescent="0.25">
      <c r="A24" s="692" t="s">
        <v>389</v>
      </c>
      <c r="B24" s="354"/>
      <c r="C24" s="354"/>
      <c r="D24" s="700">
        <f>-Goodwill!C83</f>
        <v>-0.0</v>
      </c>
      <c r="E24" s="509"/>
    </row>
    <row r="25" spans="1:5" x14ac:dyDescent="0.25">
      <c r="A25" s="354"/>
      <c r="B25" s="354"/>
      <c r="C25" s="354"/>
      <c r="D25" s="700"/>
      <c r="E25" s="510"/>
    </row>
    <row r="26" spans="1:5" x14ac:dyDescent="0.25">
      <c r="A26" s="177" t="s">
        <v>390</v>
      </c>
      <c r="B26" s="177"/>
      <c r="C26" s="177"/>
      <c r="D26" s="178">
        <f>+D21+D23+D24</f>
        <v>0.0</v>
      </c>
      <c r="E26" s="510"/>
    </row>
    <row r="27" spans="1:5" x14ac:dyDescent="0.25">
      <c r="A27" s="177" t="s">
        <v>391</v>
      </c>
      <c r="B27" s="177"/>
      <c r="C27" s="177"/>
      <c r="D27" s="178">
        <f>ROUND(D26,-3)</f>
        <v>0.0</v>
      </c>
    </row>
    <row r="28" spans="1:5" x14ac:dyDescent="0.25">
      <c r="C28" s="89"/>
    </row>
  </sheetData>
  <phoneticPr fontId="4" type="noConversion"/>
  <pageMargins left="0.59055118110236227" right="0.59055118110236227" top="0.59055118110236227" bottom="0.59055118110236227" header="0.51181102362204722" footer="0.51181102362204722"/>
  <pageSetup paperSize="9" scale="90" orientation="portrait" r:id="rId1"/>
  <headerFooter alignWithMargins="0">
    <oddFooter>&amp;C&amp;"-,Standaard"&amp;F</oddFooter>
  </headerFooter>
  <customProperties>
    <customPr name="OrphanNamesChecke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umopleiding xmlns="23d25ec9-e7d0-4a1d-8d3a-17b4a72913d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6A414D79C0D0E46B392AA32858981E6" ma:contentTypeVersion="13" ma:contentTypeDescription="Een nieuw document maken." ma:contentTypeScope="" ma:versionID="6dc0019e893d5ffb0c71b01303823e60">
  <xsd:schema xmlns:xsd="http://www.w3.org/2001/XMLSchema" xmlns:xs="http://www.w3.org/2001/XMLSchema" xmlns:p="http://schemas.microsoft.com/office/2006/metadata/properties" xmlns:ns2="23d25ec9-e7d0-4a1d-8d3a-17b4a72913da" xmlns:ns3="75c60e00-855c-4a5b-a9f1-108ec1708f86" targetNamespace="http://schemas.microsoft.com/office/2006/metadata/properties" ma:root="true" ma:fieldsID="889b6fcfda56c6a97204d33097bf148b" ns2:_="" ns3:_="">
    <xsd:import namespace="23d25ec9-e7d0-4a1d-8d3a-17b4a72913da"/>
    <xsd:import namespace="75c60e00-855c-4a5b-a9f1-108ec1708f86"/>
    <xsd:element name="properties">
      <xsd:complexType>
        <xsd:sequence>
          <xsd:element name="documentManagement">
            <xsd:complexType>
              <xsd:all>
                <xsd:element ref="ns2:Datumopleiding"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AutoTags"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d25ec9-e7d0-4a1d-8d3a-17b4a72913da" elementFormDefault="qualified">
    <xsd:import namespace="http://schemas.microsoft.com/office/2006/documentManagement/types"/>
    <xsd:import namespace="http://schemas.microsoft.com/office/infopath/2007/PartnerControls"/>
    <xsd:element name="Datumopleiding" ma:index="8" nillable="true" ma:displayName="Datum opleiding" ma:description="De datum van de opleiding. Indien de opleiding meerdere dagen doorging is het de datum van de eerste opleiding." ma:format="DateOnly" ma:internalName="Datumopleiding">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c60e00-855c-4a5b-a9f1-108ec1708f86"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66DAE6-6217-4AE7-9B7E-A48181C8A205}">
  <ds:schemaRefs>
    <ds:schemaRef ds:uri="http://schemas.microsoft.com/sharepoint/v3/contenttype/forms"/>
  </ds:schemaRefs>
</ds:datastoreItem>
</file>

<file path=customXml/itemProps3.xml><?xml version="1.0" encoding="utf-8"?>
<ds:datastoreItem xmlns:ds="http://schemas.openxmlformats.org/officeDocument/2006/customXml" ds:itemID="{5649408D-7DA6-4209-A24D-36CBDC627A80}">
  <ds:schemaRefs>
    <ds:schemaRef ds:uri="23d25ec9-e7d0-4a1d-8d3a-17b4a72913da"/>
    <ds:schemaRef ds:uri="http://purl.org/dc/terms/"/>
    <ds:schemaRef ds:uri="http://www.w3.org/XML/1998/namespace"/>
    <ds:schemaRef ds:uri="http://purl.org/dc/dcmityp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75c60e00-855c-4a5b-a9f1-108ec1708f86"/>
  </ds:schemaRefs>
</ds:datastoreItem>
</file>

<file path=customXml/itemProps4.xml><?xml version="1.0" encoding="utf-8"?>
<ds:datastoreItem xmlns:ds="http://schemas.openxmlformats.org/officeDocument/2006/customXml" ds:itemID="{222DC648-0819-4EF1-BC91-E504B5DD8A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d25ec9-e7d0-4a1d-8d3a-17b4a72913da"/>
    <ds:schemaRef ds:uri="75c60e00-855c-4a5b-a9f1-108ec1708f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weerhouden waarde</vt:lpstr>
      <vt:lpstr>Swot</vt:lpstr>
      <vt:lpstr>substantiële waarde</vt:lpstr>
      <vt:lpstr>gecorrigeerd eigen vermogen</vt:lpstr>
      <vt:lpstr>MVA</vt:lpstr>
      <vt:lpstr>Goodwill</vt:lpstr>
      <vt:lpstr>Gecorrigeerde vrije cash flow</vt:lpstr>
      <vt:lpstr>OLO</vt:lpstr>
      <vt:lpstr>Rendementswaarde</vt:lpstr>
      <vt:lpstr>rendementswaarde 1</vt:lpstr>
      <vt:lpstr>rendementswaarde 2</vt:lpstr>
      <vt:lpstr>Marktwaarde </vt:lpstr>
    </vt:vector>
  </TitlesOfParts>
  <Manager/>
  <Company>EMITOM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dc:creator>
  <cp:keywords/>
  <dc:description/>
  <cp:lastModifiedBy>Cedric Serlet</cp:lastModifiedBy>
  <cp:revision/>
  <cp:lastPrinted>2026-08-25T12:32:48Z</cp:lastPrinted>
  <dcterms:created xsi:type="dcterms:W3CDTF">2008-05-14T12:11:19Z</dcterms:created>
  <dcterms:modified xsi:type="dcterms:W3CDTF">2026-08-25T13:04:24Z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0x01010076A414D79C0D0E46B392AA32858981E6</vt:lpwstr>
  </property>
</Properties>
</file>